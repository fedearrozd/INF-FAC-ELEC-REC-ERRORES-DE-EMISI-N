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398522C4-7FA3-4984-85DE-3BC036DE5A33}" xr6:coauthVersionLast="47" xr6:coauthVersionMax="47" xr10:uidLastSave="{00000000-0000-0000-0000-000000000000}"/>
  <bookViews>
    <workbookView xWindow="2295" yWindow="2295" windowWidth="21600" windowHeight="11385" xr2:uid="{9B774926-F899-4873-9F13-DD71C437497E}"/>
  </bookViews>
  <sheets>
    <sheet name="Error_Emision" sheetId="1" r:id="rId1"/>
  </sheets>
  <definedNames>
    <definedName name="_xlnm._FilterDatabase" localSheetId="0" hidden="1">Error_Emision!$A$7:$S$11</definedName>
    <definedName name="_xlnm.Database">Error_Emision!$A$7:$S$11</definedName>
  </definedNames>
  <calcPr calcId="191029"/>
</workbook>
</file>

<file path=xl/calcChain.xml><?xml version="1.0" encoding="utf-8"?>
<calcChain xmlns="http://schemas.openxmlformats.org/spreadsheetml/2006/main">
  <c r="R12" i="1" l="1"/>
</calcChain>
</file>

<file path=xl/sharedStrings.xml><?xml version="1.0" encoding="utf-8"?>
<sst xmlns="http://schemas.openxmlformats.org/spreadsheetml/2006/main" count="68" uniqueCount="37">
  <si>
    <t>AUD_UFAC</t>
  </si>
  <si>
    <t>CXC_NUME</t>
  </si>
  <si>
    <t>MES</t>
  </si>
  <si>
    <t>ERROR</t>
  </si>
  <si>
    <t>Fabog004</t>
  </si>
  <si>
    <t>FACTURA INVENTARIO CONTADO</t>
  </si>
  <si>
    <t>2106</t>
  </si>
  <si>
    <t>BOGOTA LUCEROS MI TIENDA</t>
  </si>
  <si>
    <t>FACTURA</t>
  </si>
  <si>
    <t>2024</t>
  </si>
  <si>
    <t>09</t>
  </si>
  <si>
    <t>21061</t>
  </si>
  <si>
    <t>mitiendalucerobajo@fedearroz.com.co</t>
  </si>
  <si>
    <t>FACOM024</t>
  </si>
  <si>
    <t>NC DEVOLUCION CLIENTE</t>
  </si>
  <si>
    <t>NOTACRE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</si>
  <si>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</si>
  <si>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</si>
  <si>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</si>
  <si>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</si>
  <si>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</si>
  <si>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</si>
  <si>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</si>
  <si>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</si>
  <si>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</si>
  <si>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</si>
  <si>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</si>
  <si>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</si>
  <si>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</si>
  <si>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</si>
  <si>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</si>
  <si>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</si>
  <si>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En la homologación no se encontró(aron) el(los) valor(es) '5' para el sistema 4 y el subsistema 3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</si>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</sst>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B2503D-4AD5-4D29-95A8-F8AFCECFB4C9}" name="Errores_Emision" displayName="Errores_Emision" ref="A7:S12" totalsRowCount="1" headerRowDxfId="3" dataDxfId="42" totalsRowDxfId="43" headerRowBorderDxfId="4">
  <autoFilter ref="A7:S11" xr:uid="{190AA602-E7A3-46D3-8DC5-1B610E820814}"/>
  <tableColumns count="19">
    <tableColumn id="1" xr3:uid="{29B0BCE7-9952-4090-9880-0590A2A2D4EE}" name="USUARIO" totalsRowLabel="Total" dataDxfId="36" totalsRowDxfId="37"/>
    <tableColumn id="2" xr3:uid="{708A250F-A564-462C-9F6D-81A0A6842BBD}" name="AUD_UFAC" dataDxfId="34" totalsRowDxfId="35"/>
    <tableColumn id="3" xr3:uid="{3BC2D902-2EAB-445D-8BB7-FBE88A4EAA29}" name="FECH_APLICA" dataDxfId="33" totalsRowDxfId="32"/>
    <tableColumn id="4" xr3:uid="{F9C1DED5-302B-4ED5-9E4D-F81891E6031D}" name="DOCUMENTO" dataDxfId="31" totalsRowDxfId="41"/>
    <tableColumn id="5" xr3:uid="{D596DBD5-EC1D-48BD-BD8E-FBAF9F7EFB0A}" name="FECH_DOCUMENTO" dataDxfId="29" totalsRowDxfId="30"/>
    <tableColumn id="6" xr3:uid="{9F988588-5241-4FDF-820D-DD9AA6A5C48F}" name="FAC_VLR_TOTAL" dataDxfId="28" totalsRowDxfId="27"/>
    <tableColumn id="7" xr3:uid="{06E0CF3C-EA29-4776-BCA3-0A2A3235B287}" name="COD_TIPO_OPERAC" dataDxfId="26" totalsRowDxfId="40"/>
    <tableColumn id="8" xr3:uid="{C3EBF708-7920-4B7D-8769-3B6CA238A90C}" name="TIPO_OPERAC" dataDxfId="24" totalsRowDxfId="25"/>
    <tableColumn id="9" xr3:uid="{9913697C-F2B7-4882-ABCD-6E64950B3009}" name="COD_SUCUR" dataDxfId="22" totalsRowDxfId="23"/>
    <tableColumn id="10" xr3:uid="{7CCC496B-7DB9-482E-8C7C-E99F8715F29E}" name="SUCURSAL" dataDxfId="20" totalsRowDxfId="21"/>
    <tableColumn id="11" xr3:uid="{15B20042-2903-40F3-A8A4-1AE2C147A92F}" name="TIPO_DOCUMENTO" dataDxfId="18" totalsRowDxfId="19"/>
    <tableColumn id="12" xr3:uid="{A4AB7DFF-ECB2-4660-B7ED-705669303D28}" name="FECH_FACTURA" dataDxfId="17" totalsRowDxfId="16"/>
    <tableColumn id="13" xr3:uid="{13F56E50-9D99-49FA-AA0B-33201B62FCCC}" name="CXC_NUME" dataDxfId="15" totalsRowDxfId="39"/>
    <tableColumn id="14" xr3:uid="{13EB163E-A174-4999-9EB1-EBDE5B61376E}" name="AÑO" dataDxfId="13" totalsRowDxfId="14"/>
    <tableColumn id="15" xr3:uid="{CCE85021-D108-489C-A528-46AA84181BE2}" name="MES" dataDxfId="11" totalsRowDxfId="12"/>
    <tableColumn id="16" xr3:uid="{E4E6872D-225D-4FA9-B630-1DD47ECDA37E}" name="NIT" dataDxfId="9" totalsRowDxfId="10"/>
    <tableColumn id="17" xr3:uid="{A0F80E4C-7C01-4A42-9DCE-DAFE64D6F255}" name="NOMBRE" dataDxfId="7" totalsRowDxfId="8"/>
    <tableColumn id="18" xr3:uid="{484A3AB0-2FDF-4C10-859F-6709D5DBF13D}" name="EMAIL" totalsRowFunction="count" dataDxfId="5" totalsRowDxfId="2"/>
    <tableColumn id="19" xr3:uid="{EB6587CE-A5F6-4F51-BC20-3B2C6407140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A602-E7A3-46D3-8DC5-1B610E820814}">
  <sheetPr>
    <tabColor rgb="FF92D050"/>
  </sheetPr>
  <dimension ref="A1:S12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8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28.5" style="3" bestFit="1" customWidth="1"/>
    <col min="18" max="18" width="31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17</v>
      </c>
      <c r="B7" s="10" t="s">
        <v>0</v>
      </c>
      <c r="C7" s="11" t="s">
        <v>18</v>
      </c>
      <c r="D7" s="12" t="s">
        <v>19</v>
      </c>
      <c r="E7" s="11" t="s">
        <v>20</v>
      </c>
      <c r="F7" s="13" t="s">
        <v>21</v>
      </c>
      <c r="G7" s="12" t="s">
        <v>22</v>
      </c>
      <c r="H7" s="9" t="s">
        <v>23</v>
      </c>
      <c r="I7" s="9" t="s">
        <v>24</v>
      </c>
      <c r="J7" s="9" t="s">
        <v>25</v>
      </c>
      <c r="K7" s="9" t="s">
        <v>26</v>
      </c>
      <c r="L7" s="11" t="s">
        <v>27</v>
      </c>
      <c r="M7" s="12" t="s">
        <v>1</v>
      </c>
      <c r="N7" s="9" t="s">
        <v>28</v>
      </c>
      <c r="O7" s="9" t="s">
        <v>2</v>
      </c>
      <c r="P7" s="9" t="s">
        <v>29</v>
      </c>
      <c r="Q7" s="9" t="s">
        <v>30</v>
      </c>
      <c r="R7" s="9" t="s">
        <v>31</v>
      </c>
      <c r="S7" s="12" t="s">
        <v>3</v>
      </c>
    </row>
    <row r="8" spans="1:19" x14ac:dyDescent="0.2">
      <c r="A8" s="3" t="s">
        <v>4</v>
      </c>
      <c r="B8" s="4">
        <v>45568</v>
      </c>
      <c r="C8" s="5">
        <v>45563</v>
      </c>
      <c r="D8" s="1">
        <v>5858</v>
      </c>
      <c r="E8" s="5">
        <v>45563</v>
      </c>
      <c r="F8" s="6">
        <v>611000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45563</v>
      </c>
      <c r="M8" s="1">
        <v>5858</v>
      </c>
      <c r="N8" s="3" t="s">
        <v>9</v>
      </c>
      <c r="O8" s="3" t="s">
        <v>10</v>
      </c>
      <c r="P8" s="3" t="s">
        <v>11</v>
      </c>
      <c r="Q8" s="3" t="s">
        <v>7</v>
      </c>
      <c r="R8" s="3" t="s">
        <v>12</v>
      </c>
      <c r="S8" s="7" t="s">
        <v>32</v>
      </c>
    </row>
    <row r="9" spans="1:19" x14ac:dyDescent="0.2">
      <c r="A9" s="3" t="s">
        <v>4</v>
      </c>
      <c r="B9" s="4">
        <v>45568</v>
      </c>
      <c r="C9" s="5">
        <v>45563</v>
      </c>
      <c r="D9" s="1">
        <v>5859</v>
      </c>
      <c r="E9" s="5">
        <v>45563</v>
      </c>
      <c r="F9" s="6">
        <v>585000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45563</v>
      </c>
      <c r="M9" s="1">
        <v>5859</v>
      </c>
      <c r="N9" s="3" t="s">
        <v>9</v>
      </c>
      <c r="O9" s="3" t="s">
        <v>10</v>
      </c>
      <c r="P9" s="3" t="s">
        <v>11</v>
      </c>
      <c r="Q9" s="3" t="s">
        <v>7</v>
      </c>
      <c r="R9" s="3" t="s">
        <v>12</v>
      </c>
      <c r="S9" s="7" t="s">
        <v>32</v>
      </c>
    </row>
    <row r="10" spans="1:19" x14ac:dyDescent="0.2">
      <c r="A10" s="3" t="s">
        <v>13</v>
      </c>
      <c r="B10" s="4">
        <v>45568</v>
      </c>
      <c r="C10" s="5">
        <v>45565</v>
      </c>
      <c r="D10" s="1">
        <v>10002</v>
      </c>
      <c r="E10" s="5">
        <v>45565</v>
      </c>
      <c r="F10" s="6">
        <v>611000</v>
      </c>
      <c r="G10" s="1">
        <v>3512</v>
      </c>
      <c r="H10" s="3" t="s">
        <v>14</v>
      </c>
      <c r="I10" s="3" t="s">
        <v>6</v>
      </c>
      <c r="J10" s="3" t="s">
        <v>7</v>
      </c>
      <c r="K10" s="3" t="s">
        <v>15</v>
      </c>
      <c r="L10" s="5">
        <v>45565</v>
      </c>
      <c r="M10" s="1">
        <v>10002</v>
      </c>
      <c r="N10" s="3" t="s">
        <v>9</v>
      </c>
      <c r="O10" s="3" t="s">
        <v>10</v>
      </c>
      <c r="P10" s="3" t="s">
        <v>11</v>
      </c>
      <c r="Q10" s="3" t="s">
        <v>7</v>
      </c>
      <c r="R10" s="3" t="s">
        <v>12</v>
      </c>
      <c r="S10" s="7" t="s">
        <v>32</v>
      </c>
    </row>
    <row r="11" spans="1:19" x14ac:dyDescent="0.2">
      <c r="A11" s="3" t="s">
        <v>13</v>
      </c>
      <c r="B11" s="4">
        <v>45568</v>
      </c>
      <c r="C11" s="5">
        <v>45565</v>
      </c>
      <c r="D11" s="1">
        <v>10003</v>
      </c>
      <c r="E11" s="5">
        <v>45565</v>
      </c>
      <c r="F11" s="6">
        <v>585000</v>
      </c>
      <c r="G11" s="1">
        <v>3512</v>
      </c>
      <c r="H11" s="3" t="s">
        <v>14</v>
      </c>
      <c r="I11" s="3" t="s">
        <v>6</v>
      </c>
      <c r="J11" s="3" t="s">
        <v>7</v>
      </c>
      <c r="K11" s="3" t="s">
        <v>15</v>
      </c>
      <c r="L11" s="5">
        <v>45565</v>
      </c>
      <c r="M11" s="1">
        <v>10003</v>
      </c>
      <c r="N11" s="3" t="s">
        <v>9</v>
      </c>
      <c r="O11" s="3" t="s">
        <v>10</v>
      </c>
      <c r="P11" s="3" t="s">
        <v>11</v>
      </c>
      <c r="Q11" s="3" t="s">
        <v>7</v>
      </c>
      <c r="R11" s="3" t="s">
        <v>12</v>
      </c>
      <c r="S11" s="7" t="s">
        <v>32</v>
      </c>
    </row>
    <row r="12" spans="1:19" x14ac:dyDescent="0.2">
      <c r="A12" s="3" t="s">
        <v>16</v>
      </c>
      <c r="D12" s="2"/>
      <c r="G12" s="2"/>
      <c r="M12" s="2"/>
      <c r="R12" s="14">
        <f>SUBTOTAL(103,Errores_Emision[EMAIL])</f>
        <v>4</v>
      </c>
      <c r="S12" s="8"/>
    </row>
  </sheetData>
  <conditionalFormatting sqref="A8:S11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2024-12-26T15:43:24Z</dcterms:created>
  <dcterms:modified xsi:type="dcterms:W3CDTF">2024-12-26T15:43:25Z</dcterms:modified>
</cp:coreProperties>
</file>