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3C494DB5-63A4-4FF7-917C-6C743FB43760}" xr6:coauthVersionLast="47" xr6:coauthVersionMax="47" xr10:uidLastSave="{00000000-0000-0000-0000-000000000000}"/>
  <bookViews>
    <workbookView xWindow="2295" yWindow="2295" windowWidth="21600" windowHeight="11385" xr2:uid="{51B472F5-E4DD-43AE-8D81-3DCCC723CD38}"/>
  </bookViews>
  <sheets>
    <sheet name="Error_Emision" sheetId="1" r:id="rId1"/>
  </sheets>
  <definedNames>
    <definedName name="_xlnm._FilterDatabase" localSheetId="0" hidden="1">Error_Emision!$A$7:$S$13</definedName>
    <definedName name="_xlnm.Database">Error_Emision!$A$7:$S$13</definedName>
  </definedNames>
  <calcPr calcId="191029"/>
</workbook>
</file>

<file path=xl/calcChain.xml><?xml version="1.0" encoding="utf-8"?>
<calcChain xmlns="http://schemas.openxmlformats.org/spreadsheetml/2006/main">
  <c r="R14" i="1" l="1"/>
</calcChain>
</file>

<file path=xl/sharedStrings.xml><?xml version="1.0" encoding="utf-8"?>
<sst xmlns="http://schemas.openxmlformats.org/spreadsheetml/2006/main" count="90" uniqueCount="50">
  <si>
    <t>AUD_UFAC</t>
  </si>
  <si>
    <t>CXC_NUME</t>
  </si>
  <si>
    <t>MES</t>
  </si>
  <si>
    <t>ERROR</t>
  </si>
  <si>
    <t>FACOM024</t>
  </si>
  <si>
    <t>NC DEVOLUCION CLIENTE</t>
  </si>
  <si>
    <t>3101</t>
  </si>
  <si>
    <t>VILLAVICENCIO</t>
  </si>
  <si>
    <t>NOTACRE</t>
  </si>
  <si>
    <t>2024</t>
  </si>
  <si>
    <t>05</t>
  </si>
  <si>
    <t>80134905</t>
  </si>
  <si>
    <t>MILLER ALFONSO LOPEZ HERNANDEZ .</t>
  </si>
  <si>
    <t>lopezyhernandez2018@gmail.com</t>
  </si>
  <si>
    <t>FAVILLAVIC02</t>
  </si>
  <si>
    <t>NOTA CREDITO</t>
  </si>
  <si>
    <t>07</t>
  </si>
  <si>
    <t>86059053</t>
  </si>
  <si>
    <t>HERMES FELIPE ORTIZ PABON</t>
  </si>
  <si>
    <t>pipe529@yahoo.es</t>
  </si>
  <si>
    <t>09</t>
  </si>
  <si>
    <t>17303981</t>
  </si>
  <si>
    <t>JOSE MECIAS PARRADO TORRES .</t>
  </si>
  <si>
    <t>carola8285@hotmail.com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</si>
  <si>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</si>
  <si>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</si>
  <si>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</si>
  <si>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</si>
  <si>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</si>
  <si>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</si>
  <si>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</si>
  <si>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</si>
  <si>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</si>
  <si>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</si>
  <si>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</si>
  <si>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</si>
  <si>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</si>
  <si>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</si>
  <si>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</si>
  <si>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</si>
  <si>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[24V310112166].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</si>
  <si>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[24V310112218].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</si>
  <si>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[24V310112219].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</si>
  <si>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[24V310112220].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</si>
  <si>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[24V310112222].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</si>
  <si>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[24V310112287].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</si>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</sst>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CB9F5A-D888-4557-A010-9A34CF4CC6C9}" name="Errores_Emision" displayName="Errores_Emision" ref="A7:S14" totalsRowCount="1" headerRowDxfId="3" dataDxfId="42" totalsRowDxfId="43" headerRowBorderDxfId="4">
  <autoFilter ref="A7:S13" xr:uid="{9D75DF2A-BE5C-4082-9166-BC984F7D6333}"/>
  <tableColumns count="19">
    <tableColumn id="1" xr3:uid="{424D5C4C-89A2-4427-812D-7C8D0C5E3925}" name="USUARIO" totalsRowLabel="Total" dataDxfId="36" totalsRowDxfId="37"/>
    <tableColumn id="2" xr3:uid="{12514C27-F7E1-479B-AB8D-917139F56A1F}" name="AUD_UFAC" dataDxfId="34" totalsRowDxfId="35"/>
    <tableColumn id="3" xr3:uid="{EDF39188-C242-406A-8BC5-26EA12E334E0}" name="FECH_APLICA" dataDxfId="33" totalsRowDxfId="32"/>
    <tableColumn id="4" xr3:uid="{DCF39BB5-2932-4BCD-AB24-6DBAB04A82D8}" name="DOCUMENTO" dataDxfId="31" totalsRowDxfId="41"/>
    <tableColumn id="5" xr3:uid="{ABDDD099-43F3-4302-B134-C20B437CF9D9}" name="FECH_DOCUMENTO" dataDxfId="29" totalsRowDxfId="30"/>
    <tableColumn id="6" xr3:uid="{B20ABEA7-9DFD-4256-9B37-A58ED5D729E8}" name="FAC_VLR_TOTAL" dataDxfId="28" totalsRowDxfId="27"/>
    <tableColumn id="7" xr3:uid="{E06ECE01-E535-4184-8462-DF0455F5C8BE}" name="COD_TIPO_OPERAC" dataDxfId="26" totalsRowDxfId="40"/>
    <tableColumn id="8" xr3:uid="{4C4608A9-44AA-465E-96AA-F22E6BB47726}" name="TIPO_OPERAC" dataDxfId="24" totalsRowDxfId="25"/>
    <tableColumn id="9" xr3:uid="{2869C537-3FBD-45B7-A9EB-250EC97A1235}" name="COD_SUCUR" dataDxfId="22" totalsRowDxfId="23"/>
    <tableColumn id="10" xr3:uid="{F26BD02B-E920-4F86-A83C-F686C2B8C4FE}" name="SUCURSAL" dataDxfId="20" totalsRowDxfId="21"/>
    <tableColumn id="11" xr3:uid="{69C022AE-DFB6-4C0D-BE2E-52D7E8DFB602}" name="TIPO_DOCUMENTO" dataDxfId="18" totalsRowDxfId="19"/>
    <tableColumn id="12" xr3:uid="{8C895871-20C9-4F76-83E2-C0D34E7C26B9}" name="FECH_FACTURA" dataDxfId="17" totalsRowDxfId="16"/>
    <tableColumn id="13" xr3:uid="{A6833346-43FC-4EDB-8BA7-502461BE5425}" name="CXC_NUME" dataDxfId="15" totalsRowDxfId="39"/>
    <tableColumn id="14" xr3:uid="{EACFCC24-2049-4328-89E0-352452A2CF75}" name="AÑO" dataDxfId="13" totalsRowDxfId="14"/>
    <tableColumn id="15" xr3:uid="{E6E6302A-8EC0-4DD5-9AAE-6821A4DE15D8}" name="MES" dataDxfId="11" totalsRowDxfId="12"/>
    <tableColumn id="16" xr3:uid="{C81B5E9A-6F33-4DF9-AA76-814A5AA31A59}" name="NIT" dataDxfId="9" totalsRowDxfId="10"/>
    <tableColumn id="17" xr3:uid="{D927C1EA-AF53-4B6C-8BF4-8E51C055DA31}" name="NOMBRE" dataDxfId="7" totalsRowDxfId="8"/>
    <tableColumn id="18" xr3:uid="{7D95FFBC-7D82-4B9E-B650-16BFCE633CC3}" name="EMAIL" totalsRowFunction="count" dataDxfId="5" totalsRowDxfId="2"/>
    <tableColumn id="19" xr3:uid="{6134659E-C4E1-4AD3-9CD2-89D8A09B13F7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DF2A-BE5C-4082-9166-BC984F7D6333}">
  <sheetPr>
    <tabColor rgb="FF92D050"/>
  </sheetPr>
  <dimension ref="A1:S14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7.1640625" style="3" bestFit="1" customWidth="1"/>
    <col min="18" max="18" width="28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46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47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48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49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25</v>
      </c>
      <c r="B7" s="10" t="s">
        <v>0</v>
      </c>
      <c r="C7" s="11" t="s">
        <v>26</v>
      </c>
      <c r="D7" s="12" t="s">
        <v>27</v>
      </c>
      <c r="E7" s="11" t="s">
        <v>28</v>
      </c>
      <c r="F7" s="13" t="s">
        <v>29</v>
      </c>
      <c r="G7" s="12" t="s">
        <v>30</v>
      </c>
      <c r="H7" s="9" t="s">
        <v>31</v>
      </c>
      <c r="I7" s="9" t="s">
        <v>32</v>
      </c>
      <c r="J7" s="9" t="s">
        <v>33</v>
      </c>
      <c r="K7" s="9" t="s">
        <v>34</v>
      </c>
      <c r="L7" s="11" t="s">
        <v>35</v>
      </c>
      <c r="M7" s="12" t="s">
        <v>1</v>
      </c>
      <c r="N7" s="9" t="s">
        <v>36</v>
      </c>
      <c r="O7" s="9" t="s">
        <v>2</v>
      </c>
      <c r="P7" s="9" t="s">
        <v>37</v>
      </c>
      <c r="Q7" s="9" t="s">
        <v>38</v>
      </c>
      <c r="R7" s="9" t="s">
        <v>39</v>
      </c>
      <c r="S7" s="12" t="s">
        <v>3</v>
      </c>
    </row>
    <row r="8" spans="1:19" ht="67.5" x14ac:dyDescent="0.2">
      <c r="A8" s="3" t="s">
        <v>4</v>
      </c>
      <c r="B8" s="4">
        <v>45441</v>
      </c>
      <c r="C8" s="5">
        <v>45426</v>
      </c>
      <c r="D8" s="1">
        <v>12166</v>
      </c>
      <c r="E8" s="5">
        <v>45426</v>
      </c>
      <c r="F8" s="6">
        <v>51634220</v>
      </c>
      <c r="G8" s="1">
        <v>3512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45426</v>
      </c>
      <c r="M8" s="1">
        <v>12166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40</v>
      </c>
    </row>
    <row r="9" spans="1:19" ht="78.75" x14ac:dyDescent="0.2">
      <c r="A9" s="3" t="s">
        <v>14</v>
      </c>
      <c r="B9" s="4">
        <v>45506</v>
      </c>
      <c r="C9" s="5">
        <v>45498</v>
      </c>
      <c r="D9" s="1">
        <v>12218</v>
      </c>
      <c r="E9" s="5">
        <v>45498</v>
      </c>
      <c r="F9" s="6">
        <v>225743</v>
      </c>
      <c r="G9" s="1">
        <v>3003</v>
      </c>
      <c r="H9" s="3" t="s">
        <v>15</v>
      </c>
      <c r="I9" s="3" t="s">
        <v>6</v>
      </c>
      <c r="J9" s="3" t="s">
        <v>7</v>
      </c>
      <c r="K9" s="3" t="s">
        <v>8</v>
      </c>
      <c r="L9" s="5">
        <v>45498</v>
      </c>
      <c r="M9" s="1">
        <v>12218</v>
      </c>
      <c r="N9" s="3" t="s">
        <v>9</v>
      </c>
      <c r="O9" s="3" t="s">
        <v>16</v>
      </c>
      <c r="P9" s="3" t="s">
        <v>17</v>
      </c>
      <c r="Q9" s="3" t="s">
        <v>18</v>
      </c>
      <c r="R9" s="3" t="s">
        <v>19</v>
      </c>
      <c r="S9" s="7" t="s">
        <v>41</v>
      </c>
    </row>
    <row r="10" spans="1:19" ht="78.75" x14ac:dyDescent="0.2">
      <c r="A10" s="3" t="s">
        <v>14</v>
      </c>
      <c r="B10" s="4">
        <v>45506</v>
      </c>
      <c r="C10" s="5">
        <v>45498</v>
      </c>
      <c r="D10" s="1">
        <v>12219</v>
      </c>
      <c r="E10" s="5">
        <v>45498</v>
      </c>
      <c r="F10" s="6">
        <v>271812</v>
      </c>
      <c r="G10" s="1">
        <v>3003</v>
      </c>
      <c r="H10" s="3" t="s">
        <v>15</v>
      </c>
      <c r="I10" s="3" t="s">
        <v>6</v>
      </c>
      <c r="J10" s="3" t="s">
        <v>7</v>
      </c>
      <c r="K10" s="3" t="s">
        <v>8</v>
      </c>
      <c r="L10" s="5">
        <v>45498</v>
      </c>
      <c r="M10" s="1">
        <v>12219</v>
      </c>
      <c r="N10" s="3" t="s">
        <v>9</v>
      </c>
      <c r="O10" s="3" t="s">
        <v>16</v>
      </c>
      <c r="P10" s="3" t="s">
        <v>17</v>
      </c>
      <c r="Q10" s="3" t="s">
        <v>18</v>
      </c>
      <c r="R10" s="3" t="s">
        <v>19</v>
      </c>
      <c r="S10" s="7" t="s">
        <v>42</v>
      </c>
    </row>
    <row r="11" spans="1:19" ht="78.75" x14ac:dyDescent="0.2">
      <c r="A11" s="3" t="s">
        <v>14</v>
      </c>
      <c r="B11" s="4">
        <v>45506</v>
      </c>
      <c r="C11" s="5">
        <v>45498</v>
      </c>
      <c r="D11" s="1">
        <v>12220</v>
      </c>
      <c r="E11" s="5">
        <v>45498</v>
      </c>
      <c r="F11" s="6">
        <v>835669</v>
      </c>
      <c r="G11" s="1">
        <v>3003</v>
      </c>
      <c r="H11" s="3" t="s">
        <v>15</v>
      </c>
      <c r="I11" s="3" t="s">
        <v>6</v>
      </c>
      <c r="J11" s="3" t="s">
        <v>7</v>
      </c>
      <c r="K11" s="3" t="s">
        <v>8</v>
      </c>
      <c r="L11" s="5">
        <v>45498</v>
      </c>
      <c r="M11" s="1">
        <v>12220</v>
      </c>
      <c r="N11" s="3" t="s">
        <v>9</v>
      </c>
      <c r="O11" s="3" t="s">
        <v>16</v>
      </c>
      <c r="P11" s="3" t="s">
        <v>17</v>
      </c>
      <c r="Q11" s="3" t="s">
        <v>18</v>
      </c>
      <c r="R11" s="3" t="s">
        <v>19</v>
      </c>
      <c r="S11" s="7" t="s">
        <v>43</v>
      </c>
    </row>
    <row r="12" spans="1:19" ht="78.75" x14ac:dyDescent="0.2">
      <c r="A12" s="3" t="s">
        <v>14</v>
      </c>
      <c r="B12" s="4">
        <v>45506</v>
      </c>
      <c r="C12" s="5">
        <v>45498</v>
      </c>
      <c r="D12" s="1">
        <v>12222</v>
      </c>
      <c r="E12" s="5">
        <v>45498</v>
      </c>
      <c r="F12" s="6">
        <v>94031</v>
      </c>
      <c r="G12" s="1">
        <v>3003</v>
      </c>
      <c r="H12" s="3" t="s">
        <v>15</v>
      </c>
      <c r="I12" s="3" t="s">
        <v>6</v>
      </c>
      <c r="J12" s="3" t="s">
        <v>7</v>
      </c>
      <c r="K12" s="3" t="s">
        <v>8</v>
      </c>
      <c r="L12" s="5">
        <v>45498</v>
      </c>
      <c r="M12" s="1">
        <v>12222</v>
      </c>
      <c r="N12" s="3" t="s">
        <v>9</v>
      </c>
      <c r="O12" s="3" t="s">
        <v>16</v>
      </c>
      <c r="P12" s="3" t="s">
        <v>17</v>
      </c>
      <c r="Q12" s="3" t="s">
        <v>18</v>
      </c>
      <c r="R12" s="3" t="s">
        <v>19</v>
      </c>
      <c r="S12" s="7" t="s">
        <v>44</v>
      </c>
    </row>
    <row r="13" spans="1:19" ht="78.75" x14ac:dyDescent="0.2">
      <c r="A13" s="3" t="s">
        <v>14</v>
      </c>
      <c r="B13" s="4">
        <v>45568</v>
      </c>
      <c r="C13" s="5">
        <v>45544</v>
      </c>
      <c r="D13" s="1">
        <v>12287</v>
      </c>
      <c r="E13" s="5">
        <v>45544</v>
      </c>
      <c r="F13" s="6">
        <v>203747</v>
      </c>
      <c r="G13" s="1">
        <v>3003</v>
      </c>
      <c r="H13" s="3" t="s">
        <v>15</v>
      </c>
      <c r="I13" s="3" t="s">
        <v>6</v>
      </c>
      <c r="J13" s="3" t="s">
        <v>7</v>
      </c>
      <c r="K13" s="3" t="s">
        <v>8</v>
      </c>
      <c r="L13" s="5">
        <v>45544</v>
      </c>
      <c r="M13" s="1">
        <v>12287</v>
      </c>
      <c r="N13" s="3" t="s">
        <v>9</v>
      </c>
      <c r="O13" s="3" t="s">
        <v>20</v>
      </c>
      <c r="P13" s="3" t="s">
        <v>21</v>
      </c>
      <c r="Q13" s="3" t="s">
        <v>22</v>
      </c>
      <c r="R13" s="3" t="s">
        <v>23</v>
      </c>
      <c r="S13" s="7" t="s">
        <v>45</v>
      </c>
    </row>
    <row r="14" spans="1:19" x14ac:dyDescent="0.2">
      <c r="A14" s="3" t="s">
        <v>24</v>
      </c>
      <c r="D14" s="2"/>
      <c r="G14" s="2"/>
      <c r="M14" s="2"/>
      <c r="R14" s="14">
        <f>SUBTOTAL(103,Errores_Emision[EMAIL])</f>
        <v>6</v>
      </c>
      <c r="S14" s="8"/>
    </row>
  </sheetData>
  <conditionalFormatting sqref="A8:S13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2024-12-26T15:47:21Z</dcterms:created>
  <dcterms:modified xsi:type="dcterms:W3CDTF">2024-12-26T15:47:23Z</dcterms:modified>
</cp:coreProperties>
</file>