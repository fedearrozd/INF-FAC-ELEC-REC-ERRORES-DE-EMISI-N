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43F1E45A-FC7F-418B-9949-D1F0FAA42386}" xr6:coauthVersionLast="47" xr6:coauthVersionMax="47" xr10:uidLastSave="{00000000-0000-0000-0000-000000000000}"/>
  <bookViews>
    <workbookView xWindow="2295" yWindow="2295" windowWidth="21600" windowHeight="11385" xr2:uid="{250C4164-2C5E-474A-B5D4-8F9314C1A739}"/>
  </bookViews>
  <sheets>
    <sheet name="Error_Emision" sheetId="1" r:id="rId1"/>
  </sheets>
  <definedNames>
    <definedName name="_xlnm._FilterDatabase" localSheetId="0" hidden="1">Error_Emision!$A$7:$S$12</definedName>
    <definedName name="_xlnm.Database">Error_Emision!$A$7:$S$12</definedName>
  </definedNames>
  <calcPr calcId="191029"/>
</workbook>
</file>

<file path=xl/calcChain.xml><?xml version="1.0" encoding="utf-8"?>
<calcChain xmlns="http://schemas.openxmlformats.org/spreadsheetml/2006/main">
  <c r="R13" i="1" l="1"/>
</calcChain>
</file>

<file path=xl/sharedStrings.xml><?xml version="1.0" encoding="utf-8"?>
<sst xmlns="http://schemas.openxmlformats.org/spreadsheetml/2006/main" count="79" uniqueCount="55">
  <si>
    <t>AUD_UFAC</t>
  </si>
  <si>
    <t>CXC_NUME</t>
  </si>
  <si>
    <t>MES</t>
  </si>
  <si>
    <t>ERROR</t>
  </si>
  <si>
    <t>FACAR002</t>
  </si>
  <si>
    <t>NOTA CREDITO</t>
  </si>
  <si>
    <t>2201</t>
  </si>
  <si>
    <t>IBAGUE</t>
  </si>
  <si>
    <t>NOTACRE</t>
  </si>
  <si>
    <t>2024</t>
  </si>
  <si>
    <t>05</t>
  </si>
  <si>
    <t>890701794</t>
  </si>
  <si>
    <t>HACIENDA GUANAHANI LIMITADA .</t>
  </si>
  <si>
    <t>890701794@recepciondefacturas.co</t>
  </si>
  <si>
    <t>FACON023</t>
  </si>
  <si>
    <t>14237681</t>
  </si>
  <si>
    <t>JUAN CARLOS MORENO VALCARCEL</t>
  </si>
  <si>
    <t>juancasmoreval@hotmail.com</t>
  </si>
  <si>
    <t>FAIBAGUE06</t>
  </si>
  <si>
    <t>FACTURA INVENTARIO</t>
  </si>
  <si>
    <t>FACTURA</t>
  </si>
  <si>
    <t>07</t>
  </si>
  <si>
    <t>900931719</t>
  </si>
  <si>
    <t>AGRICOLA GUACARI S.A.S. .</t>
  </si>
  <si>
    <t>contador.companias@outlook.com</t>
  </si>
  <si>
    <t>FACTURA INVENTARIO CONTADO</t>
  </si>
  <si>
    <t>7690860</t>
  </si>
  <si>
    <t>FRAN ZULETA CASTAÐEDA</t>
  </si>
  <si>
    <t>.</t>
  </si>
  <si>
    <t>FACOM024</t>
  </si>
  <si>
    <t>NC DEVOLUCION CLIENTE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</si>
  <si>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</si>
  <si>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</si>
  <si>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</si>
  <si>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</si>
  <si>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</si>
  <si>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</si>
  <si>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</si>
  <si>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</si>
  <si>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</si>
  <si>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</si>
  <si>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</si>
  <si>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</si>
  <si>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</si>
  <si>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</si>
  <si>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</si>
  <si>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</si>
  <si>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[24I220113134].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ZB01, Rechazo: Error en el esquemeeeee - cvc-datatype-valid.1.2.1: '' is not a valid value for 'date'. - ,Regla: CAD09e, Rechazo: La fecha de generación de la NC es diferente a la fecha de firma de la NC,Regla: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</si>
  <si>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[24I220113135]. Descripción: [Validación contiene errores en campos mandatorios.] - Errores: [Regla: CBG04, Rechazo: CUDE de NC referenciada no existe,Regla: CBG06, Rechazo: Fecha NC referenciada anterior a fecha de la factura,Regla: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</si>
  <si>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[220147352].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</si>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</sst>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D0B185-4B11-495A-9903-27AEEF151385}" name="Errores_Emision" displayName="Errores_Emision" ref="A7:S13" totalsRowCount="1" headerRowDxfId="3" dataDxfId="42" totalsRowDxfId="43" headerRowBorderDxfId="4">
  <autoFilter ref="A7:S12" xr:uid="{1F7D8AB6-25AC-4C53-A75A-D055BB16A3E2}"/>
  <tableColumns count="19">
    <tableColumn id="1" xr3:uid="{49D63D4F-147B-4711-AAEE-0A4D59C731A7}" name="USUARIO" totalsRowLabel="Total" dataDxfId="36" totalsRowDxfId="37"/>
    <tableColumn id="2" xr3:uid="{D27F73D3-A420-4F6D-B366-1EAB7F1B0C98}" name="AUD_UFAC" dataDxfId="34" totalsRowDxfId="35"/>
    <tableColumn id="3" xr3:uid="{15151ED5-82A8-45F2-9379-DE8D617EA870}" name="FECH_APLICA" dataDxfId="33" totalsRowDxfId="32"/>
    <tableColumn id="4" xr3:uid="{339ADE68-010F-4FCE-B90F-BCF7CE272808}" name="DOCUMENTO" dataDxfId="31" totalsRowDxfId="41"/>
    <tableColumn id="5" xr3:uid="{696F2D07-64C6-44ED-A920-512E4B2C291A}" name="FECH_DOCUMENTO" dataDxfId="29" totalsRowDxfId="30"/>
    <tableColumn id="6" xr3:uid="{DDE195BA-763B-43FF-B973-F04D01508FA6}" name="FAC_VLR_TOTAL" dataDxfId="28" totalsRowDxfId="27"/>
    <tableColumn id="7" xr3:uid="{852D8C66-4CAE-4E71-9EBF-F777142C280B}" name="COD_TIPO_OPERAC" dataDxfId="26" totalsRowDxfId="40"/>
    <tableColumn id="8" xr3:uid="{41098F86-0692-49E8-A406-A302BF14E51E}" name="TIPO_OPERAC" dataDxfId="24" totalsRowDxfId="25"/>
    <tableColumn id="9" xr3:uid="{7C72D0E1-D713-429C-AEE1-E0216B29EE78}" name="COD_SUCUR" dataDxfId="22" totalsRowDxfId="23"/>
    <tableColumn id="10" xr3:uid="{BF0BA182-252B-4D5B-801A-AA388F7CA8A6}" name="SUCURSAL" dataDxfId="20" totalsRowDxfId="21"/>
    <tableColumn id="11" xr3:uid="{520ACE5A-9655-4785-A750-28995586812A}" name="TIPO_DOCUMENTO" dataDxfId="18" totalsRowDxfId="19"/>
    <tableColumn id="12" xr3:uid="{9C0ED9EE-6035-4A2D-93D9-F5647A71BD65}" name="FECH_FACTURA" dataDxfId="17" totalsRowDxfId="16"/>
    <tableColumn id="13" xr3:uid="{C74B8571-B74A-4E3A-B3C5-7A82F9327FF3}" name="CXC_NUME" dataDxfId="15" totalsRowDxfId="39"/>
    <tableColumn id="14" xr3:uid="{77FD434A-BFF1-4751-8E8E-FF1D48ED458A}" name="AÑO" dataDxfId="13" totalsRowDxfId="14"/>
    <tableColumn id="15" xr3:uid="{5BD463D0-BB9B-4D40-9242-862C410DBFEC}" name="MES" dataDxfId="11" totalsRowDxfId="12"/>
    <tableColumn id="16" xr3:uid="{0F0249F8-9298-4F91-B592-C403F7AAA7BA}" name="NIT" dataDxfId="9" totalsRowDxfId="10"/>
    <tableColumn id="17" xr3:uid="{3FAF6B01-2208-4622-95E4-DBF8FE68174A}" name="NOMBRE" dataDxfId="7" totalsRowDxfId="8"/>
    <tableColumn id="18" xr3:uid="{F925E6BE-83E7-4D79-80A2-17E4D3F7FE01}" name="EMAIL" totalsRowFunction="count" dataDxfId="5" totalsRowDxfId="2"/>
    <tableColumn id="19" xr3:uid="{86F61FEF-5C6C-4BFF-9475-088A5EA3FB80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8AB6-25AC-4C53-A75A-D055BB16A3E2}">
  <sheetPr>
    <tabColor rgb="FF92D050"/>
  </sheetPr>
  <dimension ref="A1:S13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4.1640625" style="3" bestFit="1" customWidth="1"/>
    <col min="18" max="18" width="29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32</v>
      </c>
      <c r="B7" s="10" t="s">
        <v>0</v>
      </c>
      <c r="C7" s="11" t="s">
        <v>33</v>
      </c>
      <c r="D7" s="12" t="s">
        <v>34</v>
      </c>
      <c r="E7" s="11" t="s">
        <v>35</v>
      </c>
      <c r="F7" s="13" t="s">
        <v>36</v>
      </c>
      <c r="G7" s="12" t="s">
        <v>37</v>
      </c>
      <c r="H7" s="9" t="s">
        <v>38</v>
      </c>
      <c r="I7" s="9" t="s">
        <v>39</v>
      </c>
      <c r="J7" s="9" t="s">
        <v>40</v>
      </c>
      <c r="K7" s="9" t="s">
        <v>41</v>
      </c>
      <c r="L7" s="11" t="s">
        <v>42</v>
      </c>
      <c r="M7" s="12" t="s">
        <v>1</v>
      </c>
      <c r="N7" s="9" t="s">
        <v>43</v>
      </c>
      <c r="O7" s="9" t="s">
        <v>2</v>
      </c>
      <c r="P7" s="9" t="s">
        <v>44</v>
      </c>
      <c r="Q7" s="9" t="s">
        <v>45</v>
      </c>
      <c r="R7" s="9" t="s">
        <v>46</v>
      </c>
      <c r="S7" s="12" t="s">
        <v>3</v>
      </c>
    </row>
    <row r="8" spans="1:19" ht="78.75" x14ac:dyDescent="0.2">
      <c r="A8" s="3" t="s">
        <v>4</v>
      </c>
      <c r="B8" s="4">
        <v>45419</v>
      </c>
      <c r="C8" s="5">
        <v>45418</v>
      </c>
      <c r="D8" s="1">
        <v>13134</v>
      </c>
      <c r="E8" s="5">
        <v>45418</v>
      </c>
      <c r="F8" s="6">
        <v>18918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45418</v>
      </c>
      <c r="M8" s="1">
        <v>13134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47</v>
      </c>
    </row>
    <row r="9" spans="1:19" ht="90" x14ac:dyDescent="0.2">
      <c r="A9" s="3" t="s">
        <v>14</v>
      </c>
      <c r="B9" s="4">
        <v>45419</v>
      </c>
      <c r="C9" s="5">
        <v>45441</v>
      </c>
      <c r="D9" s="1">
        <v>13135</v>
      </c>
      <c r="E9" s="5">
        <v>45441</v>
      </c>
      <c r="F9" s="6">
        <v>5019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45441</v>
      </c>
      <c r="M9" s="1">
        <v>13135</v>
      </c>
      <c r="N9" s="3" t="s">
        <v>9</v>
      </c>
      <c r="O9" s="3" t="s">
        <v>10</v>
      </c>
      <c r="P9" s="3" t="s">
        <v>15</v>
      </c>
      <c r="Q9" s="3" t="s">
        <v>16</v>
      </c>
      <c r="R9" s="3" t="s">
        <v>17</v>
      </c>
      <c r="S9" s="7" t="s">
        <v>48</v>
      </c>
    </row>
    <row r="10" spans="1:19" ht="56.25" x14ac:dyDescent="0.2">
      <c r="A10" s="3" t="s">
        <v>18</v>
      </c>
      <c r="B10" s="4">
        <v>45506</v>
      </c>
      <c r="C10" s="5">
        <v>45491</v>
      </c>
      <c r="D10" s="1">
        <v>47352</v>
      </c>
      <c r="E10" s="5">
        <v>45491</v>
      </c>
      <c r="F10" s="6">
        <v>1107704</v>
      </c>
      <c r="G10" s="1">
        <v>3511</v>
      </c>
      <c r="H10" s="3" t="s">
        <v>19</v>
      </c>
      <c r="I10" s="3" t="s">
        <v>6</v>
      </c>
      <c r="J10" s="3" t="s">
        <v>7</v>
      </c>
      <c r="K10" s="3" t="s">
        <v>20</v>
      </c>
      <c r="L10" s="5">
        <v>45491</v>
      </c>
      <c r="M10" s="1">
        <v>47352</v>
      </c>
      <c r="N10" s="3" t="s">
        <v>9</v>
      </c>
      <c r="O10" s="3" t="s">
        <v>21</v>
      </c>
      <c r="P10" s="3" t="s">
        <v>22</v>
      </c>
      <c r="Q10" s="3" t="s">
        <v>23</v>
      </c>
      <c r="R10" s="3" t="s">
        <v>24</v>
      </c>
      <c r="S10" s="7" t="s">
        <v>49</v>
      </c>
    </row>
    <row r="11" spans="1:19" x14ac:dyDescent="0.2">
      <c r="A11" s="3" t="s">
        <v>18</v>
      </c>
      <c r="B11" s="4">
        <v>45506</v>
      </c>
      <c r="C11" s="5">
        <v>45498</v>
      </c>
      <c r="D11" s="1">
        <v>47409</v>
      </c>
      <c r="E11" s="5">
        <v>45498</v>
      </c>
      <c r="F11" s="6">
        <v>593160</v>
      </c>
      <c r="G11" s="1">
        <v>3550</v>
      </c>
      <c r="H11" s="3" t="s">
        <v>25</v>
      </c>
      <c r="I11" s="3" t="s">
        <v>6</v>
      </c>
      <c r="J11" s="3" t="s">
        <v>7</v>
      </c>
      <c r="K11" s="3" t="s">
        <v>20</v>
      </c>
      <c r="L11" s="5">
        <v>45498</v>
      </c>
      <c r="M11" s="1">
        <v>47409</v>
      </c>
      <c r="N11" s="3" t="s">
        <v>9</v>
      </c>
      <c r="O11" s="3" t="s">
        <v>21</v>
      </c>
      <c r="P11" s="3" t="s">
        <v>26</v>
      </c>
      <c r="Q11" s="3" t="s">
        <v>27</v>
      </c>
      <c r="R11" s="3" t="s">
        <v>28</v>
      </c>
      <c r="S11" s="7" t="s">
        <v>50</v>
      </c>
    </row>
    <row r="12" spans="1:19" x14ac:dyDescent="0.2">
      <c r="A12" s="3" t="s">
        <v>29</v>
      </c>
      <c r="B12" s="4">
        <v>45499</v>
      </c>
      <c r="C12" s="5">
        <v>45499</v>
      </c>
      <c r="D12" s="1">
        <v>13229</v>
      </c>
      <c r="E12" s="5">
        <v>45499</v>
      </c>
      <c r="F12" s="6">
        <v>593160</v>
      </c>
      <c r="G12" s="1">
        <v>3512</v>
      </c>
      <c r="H12" s="3" t="s">
        <v>30</v>
      </c>
      <c r="I12" s="3" t="s">
        <v>6</v>
      </c>
      <c r="J12" s="3" t="s">
        <v>7</v>
      </c>
      <c r="K12" s="3" t="s">
        <v>8</v>
      </c>
      <c r="L12" s="5">
        <v>45499</v>
      </c>
      <c r="M12" s="1">
        <v>13229</v>
      </c>
      <c r="N12" s="3" t="s">
        <v>9</v>
      </c>
      <c r="O12" s="3" t="s">
        <v>21</v>
      </c>
      <c r="P12" s="3" t="s">
        <v>26</v>
      </c>
      <c r="Q12" s="3" t="s">
        <v>27</v>
      </c>
      <c r="R12" s="3" t="s">
        <v>28</v>
      </c>
      <c r="S12" s="7" t="s">
        <v>50</v>
      </c>
    </row>
    <row r="13" spans="1:19" x14ac:dyDescent="0.2">
      <c r="A13" s="3" t="s">
        <v>31</v>
      </c>
      <c r="D13" s="2"/>
      <c r="G13" s="2"/>
      <c r="M13" s="2"/>
      <c r="R13" s="14">
        <f>SUBTOTAL(103,Errores_Emision[EMAIL])</f>
        <v>5</v>
      </c>
      <c r="S13" s="8"/>
    </row>
  </sheetData>
  <conditionalFormatting sqref="A8:S12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2024-12-26T15:45:41Z</dcterms:created>
  <dcterms:modified xsi:type="dcterms:W3CDTF">2024-12-26T15:45:42Z</dcterms:modified>
</cp:coreProperties>
</file>