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FFEFE361-4730-48F6-AFC1-D79B3B022F7C}" xr6:coauthVersionLast="47" xr6:coauthVersionMax="47" xr10:uidLastSave="{00000000-0000-0000-0000-000000000000}"/>
  <bookViews>
    <workbookView xWindow="2295" yWindow="2295" windowWidth="21600" windowHeight="11385" xr2:uid="{6FD103F0-DF1C-46B6-9A1D-F8EF37A2326B}"/>
  </bookViews>
  <sheets>
    <sheet name="Error_Emision" sheetId="1" r:id="rId1"/>
  </sheets>
  <definedNames>
    <definedName name="_xlnm._FilterDatabase" localSheetId="0" hidden="1">Error_Emision!$A$7:$S$13</definedName>
    <definedName name="_xlnm.Database">Error_Emision!$A$7:$S$13</definedName>
  </definedNames>
  <calcPr calcId="191029"/>
</workbook>
</file>

<file path=xl/calcChain.xml><?xml version="1.0" encoding="utf-8"?>
<calcChain xmlns="http://schemas.openxmlformats.org/spreadsheetml/2006/main">
  <c r="R14" i="1" l="1"/>
</calcChain>
</file>

<file path=xl/sharedStrings.xml><?xml version="1.0" encoding="utf-8"?>
<sst xmlns="http://schemas.openxmlformats.org/spreadsheetml/2006/main" count="90" uniqueCount="55">
  <si>
    <t>AUD_UFAC</t>
  </si>
  <si>
    <t>CXC_NUME</t>
  </si>
  <si>
    <t>MES</t>
  </si>
  <si>
    <t>ERROR</t>
  </si>
  <si>
    <t>FATRINIDAD03</t>
  </si>
  <si>
    <t>FACTURA AFILIACION AGRICULTORES</t>
  </si>
  <si>
    <t>3502</t>
  </si>
  <si>
    <t>YOPAL BODEGA TRINIDAD</t>
  </si>
  <si>
    <t>FACTURA</t>
  </si>
  <si>
    <t>2024</t>
  </si>
  <si>
    <t>05</t>
  </si>
  <si>
    <t>36088036</t>
  </si>
  <si>
    <t>MARITZA LIZCANO QUINTERO .</t>
  </si>
  <si>
    <t>mariliz1906@gmail.com</t>
  </si>
  <si>
    <t>74847575</t>
  </si>
  <si>
    <t>CARLOS ALBERTO BETANCOURT GUANAY</t>
  </si>
  <si>
    <t>.</t>
  </si>
  <si>
    <t>NOTA CREDITO</t>
  </si>
  <si>
    <t>NOTACRE</t>
  </si>
  <si>
    <t>08</t>
  </si>
  <si>
    <t>1020728369</t>
  </si>
  <si>
    <t>LORENA ALEJANDRA PUENTES ZAMBRANO</t>
  </si>
  <si>
    <t>lore.zam@hotmail.com</t>
  </si>
  <si>
    <t>FACOM024</t>
  </si>
  <si>
    <t>NC DEVOLUCION CLIENTE</t>
  </si>
  <si>
    <t>10</t>
  </si>
  <si>
    <t>9433857</t>
  </si>
  <si>
    <t>ARLEY GUILLERMO NIÐO PONGUTA</t>
  </si>
  <si>
    <t>guillenp0209@gmail.com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</si>
  <si>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</si>
  <si>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</si>
  <si>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</si>
  <si>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</si>
  <si>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</si>
  <si>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</si>
  <si>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</si>
  <si>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</si>
  <si>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</si>
  <si>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</si>
  <si>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</si>
  <si>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</si>
  <si>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</si>
  <si>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</si>
  <si>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</si>
  <si>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</si>
  <si>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[35029493].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</si>
  <si>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Email inválido: '.'</t>
  </si>
  <si>
    <t>Código de error: 400 Solicitud incorrecta. 2000 InvalidDocument: DIAN: Ocurrió un error al enviar el documento [24Y350212276]. Descripción: [Validación contiene errores en campos mandatorios.] - Errores: [Regla: CAD09e, Rechazo: La fecha de generación de la NC es diferente a la fecha de firma de la NC,Regla: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</si>
  <si>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[24Y350212277]. Descripción: [Validación contiene errores en campos mandatorios.] - Errores: [Regla: CAD09e, Rechazo: La fecha de generación de la NC es diferente a la fecha de firma de la NC,Regla: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</si>
  <si>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[24Y350212278]. Descripción: [Validación contiene errores en campos mandatorios.] - Errores: [Regla: CAD09e, Rechazo: La fecha de generación de la NC es diferente a la fecha de firma de la NC,Regla: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</si>
  <si>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[24Y350212292]. Descripción: [Validación contiene errores en campos mandatorios.] - Errores: [Regla: LGC15, Rechazo: No es posible la transmisión de una nota crédito, por cuanto la factura ya se encuentra aceptada,Regla: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</si>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</sst>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5C742F-DBDB-418D-B7B4-C41D4D119D78}" name="Errores_Emision" displayName="Errores_Emision" ref="A7:S14" totalsRowCount="1" headerRowDxfId="3" dataDxfId="42" totalsRowDxfId="43" headerRowBorderDxfId="4">
  <autoFilter ref="A7:S13" xr:uid="{06FDDFE4-FDF6-4F10-9F94-8F9291273411}"/>
  <tableColumns count="19">
    <tableColumn id="1" xr3:uid="{0F908C12-8E64-432D-AEB6-BB185DA44DD3}" name="USUARIO" totalsRowLabel="Total" dataDxfId="36" totalsRowDxfId="37"/>
    <tableColumn id="2" xr3:uid="{4284D01F-FE20-47AB-ABFE-20BA3B1D5D38}" name="AUD_UFAC" dataDxfId="34" totalsRowDxfId="35"/>
    <tableColumn id="3" xr3:uid="{E0D4E898-4EC5-4908-8265-CDB1BA23806C}" name="FECH_APLICA" dataDxfId="33" totalsRowDxfId="32"/>
    <tableColumn id="4" xr3:uid="{A2AB2DB0-07E7-462D-9BB8-F5A5FC0D41E1}" name="DOCUMENTO" dataDxfId="31" totalsRowDxfId="41"/>
    <tableColumn id="5" xr3:uid="{9CF74F5F-CEEE-4F1A-9F6D-98B9059C90DD}" name="FECH_DOCUMENTO" dataDxfId="29" totalsRowDxfId="30"/>
    <tableColumn id="6" xr3:uid="{B22C5CA8-4E8A-42E2-84DC-6FF00EA032E6}" name="FAC_VLR_TOTAL" dataDxfId="28" totalsRowDxfId="27"/>
    <tableColumn id="7" xr3:uid="{4819B5FD-1C8B-4B63-856D-80DC643F3071}" name="COD_TIPO_OPERAC" dataDxfId="26" totalsRowDxfId="40"/>
    <tableColumn id="8" xr3:uid="{08919950-E8FD-49E4-98D6-A8F157EFE7F1}" name="TIPO_OPERAC" dataDxfId="24" totalsRowDxfId="25"/>
    <tableColumn id="9" xr3:uid="{9A300CA8-E86C-4961-8323-E9C7C2FA06AE}" name="COD_SUCUR" dataDxfId="22" totalsRowDxfId="23"/>
    <tableColumn id="10" xr3:uid="{25E938BA-9BCC-4E4C-BAEE-E3D572BE9646}" name="SUCURSAL" dataDxfId="20" totalsRowDxfId="21"/>
    <tableColumn id="11" xr3:uid="{9DC2C4FF-E238-432D-BB27-561486ED000A}" name="TIPO_DOCUMENTO" dataDxfId="18" totalsRowDxfId="19"/>
    <tableColumn id="12" xr3:uid="{FFE8C65A-EBFE-4EC1-8087-D329A7F00214}" name="FECH_FACTURA" dataDxfId="17" totalsRowDxfId="16"/>
    <tableColumn id="13" xr3:uid="{EDEAAF0F-0E68-4ACE-B0FF-916C19E38227}" name="CXC_NUME" dataDxfId="15" totalsRowDxfId="39"/>
    <tableColumn id="14" xr3:uid="{9D2C0A9C-326D-4E47-AAC9-E36800F46BBB}" name="AÑO" dataDxfId="13" totalsRowDxfId="14"/>
    <tableColumn id="15" xr3:uid="{DEE784DD-18AE-4A79-A85C-507869142368}" name="MES" dataDxfId="11" totalsRowDxfId="12"/>
    <tableColumn id="16" xr3:uid="{7DD482BA-C3AA-4B34-B9A4-76C164FAB18B}" name="NIT" dataDxfId="9" totalsRowDxfId="10"/>
    <tableColumn id="17" xr3:uid="{9D8862E3-D4E9-4CD2-BCC6-AF5727ED2182}" name="NOMBRE" dataDxfId="7" totalsRowDxfId="8"/>
    <tableColumn id="18" xr3:uid="{AA9A596B-5111-4B93-91DB-DEC5DCC29FFF}" name="EMAIL" totalsRowFunction="count" dataDxfId="5" totalsRowDxfId="2"/>
    <tableColumn id="19" xr3:uid="{10D273A9-6757-489B-A956-B9FB11A22624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DFE4-FDF6-4F10-9F94-8F9291273411}">
  <sheetPr>
    <tabColor rgb="FF92D050"/>
  </sheetPr>
  <dimension ref="A1:S14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6" style="3" bestFit="1" customWidth="1"/>
    <col min="9" max="9" width="17.6640625" style="3" bestFit="1" customWidth="1"/>
    <col min="10" max="10" width="25.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40.6640625" style="3" bestFit="1" customWidth="1"/>
    <col min="18" max="18" width="21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51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52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53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54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30</v>
      </c>
      <c r="B7" s="10" t="s">
        <v>0</v>
      </c>
      <c r="C7" s="11" t="s">
        <v>31</v>
      </c>
      <c r="D7" s="12" t="s">
        <v>32</v>
      </c>
      <c r="E7" s="11" t="s">
        <v>33</v>
      </c>
      <c r="F7" s="13" t="s">
        <v>34</v>
      </c>
      <c r="G7" s="12" t="s">
        <v>35</v>
      </c>
      <c r="H7" s="9" t="s">
        <v>36</v>
      </c>
      <c r="I7" s="9" t="s">
        <v>37</v>
      </c>
      <c r="J7" s="9" t="s">
        <v>38</v>
      </c>
      <c r="K7" s="9" t="s">
        <v>39</v>
      </c>
      <c r="L7" s="11" t="s">
        <v>40</v>
      </c>
      <c r="M7" s="12" t="s">
        <v>1</v>
      </c>
      <c r="N7" s="9" t="s">
        <v>41</v>
      </c>
      <c r="O7" s="9" t="s">
        <v>2</v>
      </c>
      <c r="P7" s="9" t="s">
        <v>42</v>
      </c>
      <c r="Q7" s="9" t="s">
        <v>43</v>
      </c>
      <c r="R7" s="9" t="s">
        <v>44</v>
      </c>
      <c r="S7" s="12" t="s">
        <v>3</v>
      </c>
    </row>
    <row r="8" spans="1:19" ht="56.25" x14ac:dyDescent="0.2">
      <c r="A8" s="3" t="s">
        <v>4</v>
      </c>
      <c r="B8" s="4">
        <v>45418</v>
      </c>
      <c r="C8" s="5">
        <v>45416</v>
      </c>
      <c r="D8" s="1">
        <v>9493</v>
      </c>
      <c r="E8" s="5">
        <v>45416</v>
      </c>
      <c r="F8" s="6">
        <v>20000</v>
      </c>
      <c r="G8" s="1">
        <v>3014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45416</v>
      </c>
      <c r="M8" s="1">
        <v>9493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45</v>
      </c>
    </row>
    <row r="9" spans="1:19" x14ac:dyDescent="0.2">
      <c r="A9" s="3" t="s">
        <v>4</v>
      </c>
      <c r="B9" s="4">
        <v>45426</v>
      </c>
      <c r="C9" s="5">
        <v>45426</v>
      </c>
      <c r="D9" s="1">
        <v>9504</v>
      </c>
      <c r="E9" s="5">
        <v>45426</v>
      </c>
      <c r="F9" s="6">
        <v>20000</v>
      </c>
      <c r="G9" s="1">
        <v>3014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45426</v>
      </c>
      <c r="M9" s="1">
        <v>9504</v>
      </c>
      <c r="N9" s="3" t="s">
        <v>9</v>
      </c>
      <c r="O9" s="3" t="s">
        <v>10</v>
      </c>
      <c r="P9" s="3" t="s">
        <v>14</v>
      </c>
      <c r="Q9" s="3" t="s">
        <v>15</v>
      </c>
      <c r="R9" s="3" t="s">
        <v>16</v>
      </c>
      <c r="S9" s="7" t="s">
        <v>46</v>
      </c>
    </row>
    <row r="10" spans="1:19" ht="67.5" x14ac:dyDescent="0.2">
      <c r="A10" s="3" t="s">
        <v>4</v>
      </c>
      <c r="B10" s="4">
        <v>45568</v>
      </c>
      <c r="C10" s="5">
        <v>45519</v>
      </c>
      <c r="D10" s="1">
        <v>12276</v>
      </c>
      <c r="E10" s="5">
        <v>45519</v>
      </c>
      <c r="F10" s="6">
        <v>83260</v>
      </c>
      <c r="G10" s="1">
        <v>3003</v>
      </c>
      <c r="H10" s="3" t="s">
        <v>17</v>
      </c>
      <c r="I10" s="3" t="s">
        <v>6</v>
      </c>
      <c r="J10" s="3" t="s">
        <v>7</v>
      </c>
      <c r="K10" s="3" t="s">
        <v>18</v>
      </c>
      <c r="L10" s="5">
        <v>45519</v>
      </c>
      <c r="M10" s="1">
        <v>12276</v>
      </c>
      <c r="N10" s="3" t="s">
        <v>9</v>
      </c>
      <c r="O10" s="3" t="s">
        <v>19</v>
      </c>
      <c r="P10" s="3" t="s">
        <v>20</v>
      </c>
      <c r="Q10" s="3" t="s">
        <v>21</v>
      </c>
      <c r="R10" s="3" t="s">
        <v>22</v>
      </c>
      <c r="S10" s="7" t="s">
        <v>47</v>
      </c>
    </row>
    <row r="11" spans="1:19" ht="67.5" x14ac:dyDescent="0.2">
      <c r="A11" s="3" t="s">
        <v>4</v>
      </c>
      <c r="B11" s="4">
        <v>45568</v>
      </c>
      <c r="C11" s="5">
        <v>45519</v>
      </c>
      <c r="D11" s="1">
        <v>12277</v>
      </c>
      <c r="E11" s="5">
        <v>45519</v>
      </c>
      <c r="F11" s="6">
        <v>13523</v>
      </c>
      <c r="G11" s="1">
        <v>3003</v>
      </c>
      <c r="H11" s="3" t="s">
        <v>17</v>
      </c>
      <c r="I11" s="3" t="s">
        <v>6</v>
      </c>
      <c r="J11" s="3" t="s">
        <v>7</v>
      </c>
      <c r="K11" s="3" t="s">
        <v>18</v>
      </c>
      <c r="L11" s="5">
        <v>45519</v>
      </c>
      <c r="M11" s="1">
        <v>12277</v>
      </c>
      <c r="N11" s="3" t="s">
        <v>9</v>
      </c>
      <c r="O11" s="3" t="s">
        <v>19</v>
      </c>
      <c r="P11" s="3" t="s">
        <v>20</v>
      </c>
      <c r="Q11" s="3" t="s">
        <v>21</v>
      </c>
      <c r="R11" s="3" t="s">
        <v>22</v>
      </c>
      <c r="S11" s="7" t="s">
        <v>48</v>
      </c>
    </row>
    <row r="12" spans="1:19" ht="67.5" x14ac:dyDescent="0.2">
      <c r="A12" s="3" t="s">
        <v>4</v>
      </c>
      <c r="B12" s="4">
        <v>45568</v>
      </c>
      <c r="C12" s="5">
        <v>45519</v>
      </c>
      <c r="D12" s="1">
        <v>12278</v>
      </c>
      <c r="E12" s="5">
        <v>45519</v>
      </c>
      <c r="F12" s="6">
        <v>177775</v>
      </c>
      <c r="G12" s="1">
        <v>3003</v>
      </c>
      <c r="H12" s="3" t="s">
        <v>17</v>
      </c>
      <c r="I12" s="3" t="s">
        <v>6</v>
      </c>
      <c r="J12" s="3" t="s">
        <v>7</v>
      </c>
      <c r="K12" s="3" t="s">
        <v>18</v>
      </c>
      <c r="L12" s="5">
        <v>45519</v>
      </c>
      <c r="M12" s="1">
        <v>12278</v>
      </c>
      <c r="N12" s="3" t="s">
        <v>9</v>
      </c>
      <c r="O12" s="3" t="s">
        <v>19</v>
      </c>
      <c r="P12" s="3" t="s">
        <v>20</v>
      </c>
      <c r="Q12" s="3" t="s">
        <v>21</v>
      </c>
      <c r="R12" s="3" t="s">
        <v>22</v>
      </c>
      <c r="S12" s="7" t="s">
        <v>49</v>
      </c>
    </row>
    <row r="13" spans="1:19" ht="67.5" x14ac:dyDescent="0.2">
      <c r="A13" s="3" t="s">
        <v>23</v>
      </c>
      <c r="B13" s="4">
        <v>45596</v>
      </c>
      <c r="C13" s="5">
        <v>45596</v>
      </c>
      <c r="D13" s="1">
        <v>12292</v>
      </c>
      <c r="E13" s="5">
        <v>45596</v>
      </c>
      <c r="F13" s="6">
        <v>6984965</v>
      </c>
      <c r="G13" s="1">
        <v>3512</v>
      </c>
      <c r="H13" s="3" t="s">
        <v>24</v>
      </c>
      <c r="I13" s="3" t="s">
        <v>6</v>
      </c>
      <c r="J13" s="3" t="s">
        <v>7</v>
      </c>
      <c r="K13" s="3" t="s">
        <v>18</v>
      </c>
      <c r="L13" s="5">
        <v>45596</v>
      </c>
      <c r="M13" s="1">
        <v>12292</v>
      </c>
      <c r="N13" s="3" t="s">
        <v>9</v>
      </c>
      <c r="O13" s="3" t="s">
        <v>25</v>
      </c>
      <c r="P13" s="3" t="s">
        <v>26</v>
      </c>
      <c r="Q13" s="3" t="s">
        <v>27</v>
      </c>
      <c r="R13" s="3" t="s">
        <v>28</v>
      </c>
      <c r="S13" s="7" t="s">
        <v>50</v>
      </c>
    </row>
    <row r="14" spans="1:19" x14ac:dyDescent="0.2">
      <c r="A14" s="3" t="s">
        <v>29</v>
      </c>
      <c r="D14" s="2"/>
      <c r="G14" s="2"/>
      <c r="M14" s="2"/>
      <c r="R14" s="14">
        <f>SUBTOTAL(103,Errores_Emision[EMAIL])</f>
        <v>6</v>
      </c>
      <c r="S14" s="8"/>
    </row>
  </sheetData>
  <conditionalFormatting sqref="A8:S13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2024-12-26T15:48:52Z</dcterms:created>
  <dcterms:modified xsi:type="dcterms:W3CDTF">2024-12-26T15:48:54Z</dcterms:modified>
</cp:coreProperties>
</file>