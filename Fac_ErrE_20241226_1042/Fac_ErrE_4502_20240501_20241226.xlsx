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63A20E04-88AA-42F8-B5C6-F60C13158D21}" xr6:coauthVersionLast="47" xr6:coauthVersionMax="47" xr10:uidLastSave="{00000000-0000-0000-0000-000000000000}"/>
  <bookViews>
    <workbookView xWindow="2295" yWindow="2295" windowWidth="21600" windowHeight="11385" xr2:uid="{0B80E481-58B0-44E5-B1CC-95DF29AC38A6}"/>
  </bookViews>
  <sheets>
    <sheet name="Error_Emision" sheetId="1" r:id="rId1"/>
  </sheets>
  <definedNames>
    <definedName name="_xlnm._FilterDatabase" localSheetId="0" hidden="1">Error_Emision!$A$7:$S$10</definedName>
    <definedName name="_xlnm.Database">Error_Emision!$A$7:$S$10</definedName>
  </definedNames>
  <calcPr calcId="191029"/>
</workbook>
</file>

<file path=xl/calcChain.xml><?xml version="1.0" encoding="utf-8"?>
<calcChain xmlns="http://schemas.openxmlformats.org/spreadsheetml/2006/main">
  <c r="R11" i="1" l="1"/>
</calcChain>
</file>

<file path=xl/sharedStrings.xml><?xml version="1.0" encoding="utf-8"?>
<sst xmlns="http://schemas.openxmlformats.org/spreadsheetml/2006/main" count="57" uniqueCount="44">
  <si>
    <t>AUD_UFAC</t>
  </si>
  <si>
    <t>CXC_NUME</t>
  </si>
  <si>
    <t>MES</t>
  </si>
  <si>
    <t>ERROR</t>
  </si>
  <si>
    <t>FASABANATO02</t>
  </si>
  <si>
    <t>FACTURA INVENTARIO CONTADO</t>
  </si>
  <si>
    <t>4502</t>
  </si>
  <si>
    <t>PTO SERV.SABANA DE TORRES</t>
  </si>
  <si>
    <t>FACTURA</t>
  </si>
  <si>
    <t>2024</t>
  </si>
  <si>
    <t>07</t>
  </si>
  <si>
    <t>91530876</t>
  </si>
  <si>
    <t>LUIS ALFONSO SANCHEZ ALBARRACIN</t>
  </si>
  <si>
    <t>.</t>
  </si>
  <si>
    <t>1004507017</t>
  </si>
  <si>
    <t>JEREMIAS GUTIERREZ PEDROZO</t>
  </si>
  <si>
    <t>gutirresjeremias41@gmail.com</t>
  </si>
  <si>
    <t>FACTURA AFILIACION AGRICULTORES</t>
  </si>
  <si>
    <t>09</t>
  </si>
  <si>
    <t>2148344</t>
  </si>
  <si>
    <t>CAMILO ANDRES RODRIGUEZ PEÐON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</si>
  <si>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</si>
  <si>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</si>
  <si>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</si>
  <si>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</si>
  <si>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</si>
  <si>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</si>
  <si>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</si>
  <si>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</si>
  <si>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</si>
  <si>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</si>
  <si>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</si>
  <si>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</si>
  <si>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</si>
  <si>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</si>
  <si>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</si>
  <si>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</si>
  <si>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[450212821].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</si>
  <si>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En la homologación no se encontró(aron) el(los) valor(es) '135' para el sistema 4 y el subsistema 12</t>
  </si>
  <si>
    <t>Código de error: 400 Solicitud incorrecta. 2000 Email inválido: '.'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</si>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</sst>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18CE6-46A1-4A2A-9D97-417AE6DADD48}" name="Errores_Emision" displayName="Errores_Emision" ref="A7:S11" totalsRowCount="1" headerRowDxfId="3" dataDxfId="42" totalsRowDxfId="43" headerRowBorderDxfId="4">
  <autoFilter ref="A7:S10" xr:uid="{EF51FBA0-C8F8-4A69-B6C6-17E02D587618}"/>
  <tableColumns count="19">
    <tableColumn id="1" xr3:uid="{BAAE9C76-1A79-426E-A28A-C32E7ED8EEC8}" name="USUARIO" totalsRowLabel="Total" dataDxfId="36" totalsRowDxfId="37"/>
    <tableColumn id="2" xr3:uid="{E34F60F7-C07E-4CC4-9DEC-795C47D34973}" name="AUD_UFAC" dataDxfId="34" totalsRowDxfId="35"/>
    <tableColumn id="3" xr3:uid="{1636078A-00E3-41E8-9FB1-15E7B71BF0ED}" name="FECH_APLICA" dataDxfId="33" totalsRowDxfId="32"/>
    <tableColumn id="4" xr3:uid="{85267BEC-FDD0-404D-A041-DD70534D62A9}" name="DOCUMENTO" dataDxfId="31" totalsRowDxfId="41"/>
    <tableColumn id="5" xr3:uid="{974F8611-0444-45C8-A7EC-1F524CB5E147}" name="FECH_DOCUMENTO" dataDxfId="29" totalsRowDxfId="30"/>
    <tableColumn id="6" xr3:uid="{206B2D79-D333-48F4-9B1E-53E845114B0F}" name="FAC_VLR_TOTAL" dataDxfId="28" totalsRowDxfId="27"/>
    <tableColumn id="7" xr3:uid="{FD4604BF-7E39-4334-954E-309AC2C3D1F5}" name="COD_TIPO_OPERAC" dataDxfId="26" totalsRowDxfId="40"/>
    <tableColumn id="8" xr3:uid="{CB521649-2224-4ACA-A762-EB8662C4F0E6}" name="TIPO_OPERAC" dataDxfId="24" totalsRowDxfId="25"/>
    <tableColumn id="9" xr3:uid="{5C6A2D5D-82C9-4A1B-8102-67A2988BC1CD}" name="COD_SUCUR" dataDxfId="22" totalsRowDxfId="23"/>
    <tableColumn id="10" xr3:uid="{AAE848DB-EDF5-40C0-925D-B42A11D7FB74}" name="SUCURSAL" dataDxfId="20" totalsRowDxfId="21"/>
    <tableColumn id="11" xr3:uid="{5EE18001-E0C9-42E7-96F0-BCC0560EB953}" name="TIPO_DOCUMENTO" dataDxfId="18" totalsRowDxfId="19"/>
    <tableColumn id="12" xr3:uid="{247558B3-C609-48C4-A027-CEB85BB6FCC1}" name="FECH_FACTURA" dataDxfId="17" totalsRowDxfId="16"/>
    <tableColumn id="13" xr3:uid="{9B1F11EA-675B-441F-BAD9-245B73202E2D}" name="CXC_NUME" dataDxfId="15" totalsRowDxfId="39"/>
    <tableColumn id="14" xr3:uid="{51CB064C-0988-4F22-8E08-6479F7962F39}" name="AÑO" dataDxfId="13" totalsRowDxfId="14"/>
    <tableColumn id="15" xr3:uid="{306D5D6C-29DC-476B-8BA6-CFDA0CA540CB}" name="MES" dataDxfId="11" totalsRowDxfId="12"/>
    <tableColumn id="16" xr3:uid="{7F067D96-E7F0-40D7-85C9-4FCF681F9413}" name="NIT" dataDxfId="9" totalsRowDxfId="10"/>
    <tableColumn id="17" xr3:uid="{5DD2A818-7CA8-464A-904D-2555A061B814}" name="NOMBRE" dataDxfId="7" totalsRowDxfId="8"/>
    <tableColumn id="18" xr3:uid="{F7C26E2E-8941-42B7-9724-5F13D23FD06E}" name="EMAIL" totalsRowFunction="count" dataDxfId="5" totalsRowDxfId="2"/>
    <tableColumn id="19" xr3:uid="{E00E954B-4899-4981-A672-46EA11E90CDD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FBA0-C8F8-4A69-B6C6-17E02D587618}">
  <sheetPr>
    <tabColor rgb="FF92D050"/>
  </sheetPr>
  <dimension ref="A1:S11"/>
  <sheetViews>
    <sheetView showGridLines="0" tabSelected="1" workbookViewId="0"/>
  </sheetViews>
  <sheetFormatPr baseColWidth="10" defaultRowHeight="11.25" x14ac:dyDescent="0.2"/>
  <cols>
    <col min="1" max="1" width="15.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28.6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5.83203125" style="3" bestFit="1" customWidth="1"/>
    <col min="18" max="18" width="25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40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41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42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43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22</v>
      </c>
      <c r="B7" s="10" t="s">
        <v>0</v>
      </c>
      <c r="C7" s="11" t="s">
        <v>23</v>
      </c>
      <c r="D7" s="12" t="s">
        <v>24</v>
      </c>
      <c r="E7" s="11" t="s">
        <v>25</v>
      </c>
      <c r="F7" s="13" t="s">
        <v>26</v>
      </c>
      <c r="G7" s="12" t="s">
        <v>27</v>
      </c>
      <c r="H7" s="9" t="s">
        <v>28</v>
      </c>
      <c r="I7" s="9" t="s">
        <v>29</v>
      </c>
      <c r="J7" s="9" t="s">
        <v>30</v>
      </c>
      <c r="K7" s="9" t="s">
        <v>31</v>
      </c>
      <c r="L7" s="11" t="s">
        <v>32</v>
      </c>
      <c r="M7" s="12" t="s">
        <v>1</v>
      </c>
      <c r="N7" s="9" t="s">
        <v>33</v>
      </c>
      <c r="O7" s="9" t="s">
        <v>2</v>
      </c>
      <c r="P7" s="9" t="s">
        <v>34</v>
      </c>
      <c r="Q7" s="9" t="s">
        <v>35</v>
      </c>
      <c r="R7" s="9" t="s">
        <v>36</v>
      </c>
      <c r="S7" s="12" t="s">
        <v>3</v>
      </c>
    </row>
    <row r="8" spans="1:19" ht="56.25" x14ac:dyDescent="0.2">
      <c r="A8" s="3" t="s">
        <v>4</v>
      </c>
      <c r="B8" s="4">
        <v>45506</v>
      </c>
      <c r="C8" s="5">
        <v>45475</v>
      </c>
      <c r="D8" s="1">
        <v>12821</v>
      </c>
      <c r="E8" s="5">
        <v>45475</v>
      </c>
      <c r="F8" s="6">
        <v>67507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45475</v>
      </c>
      <c r="M8" s="1">
        <v>12821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37</v>
      </c>
    </row>
    <row r="9" spans="1:19" x14ac:dyDescent="0.2">
      <c r="A9" s="3" t="s">
        <v>4</v>
      </c>
      <c r="B9" s="4">
        <v>45506</v>
      </c>
      <c r="C9" s="5">
        <v>45492</v>
      </c>
      <c r="D9" s="1">
        <v>12841</v>
      </c>
      <c r="E9" s="5">
        <v>45492</v>
      </c>
      <c r="F9" s="6">
        <v>623000</v>
      </c>
      <c r="G9" s="1">
        <v>3550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45492</v>
      </c>
      <c r="M9" s="1">
        <v>12841</v>
      </c>
      <c r="N9" s="3" t="s">
        <v>9</v>
      </c>
      <c r="O9" s="3" t="s">
        <v>10</v>
      </c>
      <c r="P9" s="3" t="s">
        <v>14</v>
      </c>
      <c r="Q9" s="3" t="s">
        <v>15</v>
      </c>
      <c r="R9" s="3" t="s">
        <v>16</v>
      </c>
      <c r="S9" s="7" t="s">
        <v>38</v>
      </c>
    </row>
    <row r="10" spans="1:19" x14ac:dyDescent="0.2">
      <c r="A10" s="3" t="s">
        <v>4</v>
      </c>
      <c r="B10" s="4">
        <v>45568</v>
      </c>
      <c r="C10" s="5">
        <v>45537</v>
      </c>
      <c r="D10" s="1">
        <v>12941</v>
      </c>
      <c r="E10" s="5">
        <v>45537</v>
      </c>
      <c r="F10" s="6">
        <v>10000</v>
      </c>
      <c r="G10" s="1">
        <v>3014</v>
      </c>
      <c r="H10" s="3" t="s">
        <v>17</v>
      </c>
      <c r="I10" s="3" t="s">
        <v>6</v>
      </c>
      <c r="J10" s="3" t="s">
        <v>7</v>
      </c>
      <c r="K10" s="3" t="s">
        <v>8</v>
      </c>
      <c r="L10" s="5">
        <v>45537</v>
      </c>
      <c r="M10" s="1">
        <v>12941</v>
      </c>
      <c r="N10" s="3" t="s">
        <v>9</v>
      </c>
      <c r="O10" s="3" t="s">
        <v>18</v>
      </c>
      <c r="P10" s="3" t="s">
        <v>19</v>
      </c>
      <c r="Q10" s="3" t="s">
        <v>20</v>
      </c>
      <c r="R10" s="3" t="s">
        <v>13</v>
      </c>
      <c r="S10" s="7" t="s">
        <v>39</v>
      </c>
    </row>
    <row r="11" spans="1:19" x14ac:dyDescent="0.2">
      <c r="A11" s="3" t="s">
        <v>21</v>
      </c>
      <c r="D11" s="2"/>
      <c r="G11" s="2"/>
      <c r="M11" s="2"/>
      <c r="R11" s="14">
        <f>SUBTOTAL(103,Errores_Emision[EMAIL])</f>
        <v>3</v>
      </c>
      <c r="S11" s="8"/>
    </row>
  </sheetData>
  <conditionalFormatting sqref="A8:S10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2024-12-26T15:50:35Z</dcterms:created>
  <dcterms:modified xsi:type="dcterms:W3CDTF">2024-12-26T15:50:36Z</dcterms:modified>
</cp:coreProperties>
</file>