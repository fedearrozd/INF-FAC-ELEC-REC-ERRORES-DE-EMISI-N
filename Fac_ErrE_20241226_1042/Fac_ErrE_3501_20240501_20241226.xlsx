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7ECA675C-A8A4-4CC1-9C15-5E186B035352}" xr6:coauthVersionLast="47" xr6:coauthVersionMax="47" xr10:uidLastSave="{00000000-0000-0000-0000-000000000000}"/>
  <bookViews>
    <workbookView xWindow="2295" yWindow="2295" windowWidth="21600" windowHeight="11385" xr2:uid="{53C57BF1-D819-4331-A9DB-99850E7FFCDD}"/>
  </bookViews>
  <sheets>
    <sheet name="Error_Emision" sheetId="1" r:id="rId1"/>
  </sheets>
  <definedNames>
    <definedName name="_xlnm._FilterDatabase" localSheetId="0" hidden="1">Error_Emision!$A$7:$S$11</definedName>
    <definedName name="_xlnm.Database">Error_Emision!$A$7:$S$11</definedName>
  </definedNames>
  <calcPr calcId="191029"/>
</workbook>
</file>

<file path=xl/calcChain.xml><?xml version="1.0" encoding="utf-8"?>
<calcChain xmlns="http://schemas.openxmlformats.org/spreadsheetml/2006/main">
  <c r="R12" i="1" l="1"/>
</calcChain>
</file>

<file path=xl/sharedStrings.xml><?xml version="1.0" encoding="utf-8"?>
<sst xmlns="http://schemas.openxmlformats.org/spreadsheetml/2006/main" count="68" uniqueCount="51">
  <si>
    <t>AUD_UFAC</t>
  </si>
  <si>
    <t>CXC_NUME</t>
  </si>
  <si>
    <t>MES</t>
  </si>
  <si>
    <t>ERROR</t>
  </si>
  <si>
    <t>FACOM024</t>
  </si>
  <si>
    <t>NC DEVOLUCION CLIENTE</t>
  </si>
  <si>
    <t>3501</t>
  </si>
  <si>
    <t>YOPAL</t>
  </si>
  <si>
    <t>NOTACRE</t>
  </si>
  <si>
    <t>2024</t>
  </si>
  <si>
    <t>06</t>
  </si>
  <si>
    <t>68305508</t>
  </si>
  <si>
    <t>ERMINIA ARGOTA CARDENAS .</t>
  </si>
  <si>
    <t>yicelita.312@gmail.com</t>
  </si>
  <si>
    <t>FACAR002</t>
  </si>
  <si>
    <t>ND INTERESES DE MORA</t>
  </si>
  <si>
    <t>NOTADEB</t>
  </si>
  <si>
    <t>11</t>
  </si>
  <si>
    <t>1118545422</t>
  </si>
  <si>
    <t>LUCY VIVIANA REYES PAEZ</t>
  </si>
  <si>
    <t>lucy90289@gmail.com</t>
  </si>
  <si>
    <t>10547771</t>
  </si>
  <si>
    <t>ANGEL RUBIEL VILLEGAS MUÐOZ</t>
  </si>
  <si>
    <t>agroarrozltda@hotmail.com</t>
  </si>
  <si>
    <t>901053757</t>
  </si>
  <si>
    <t>AGRORIENTE S&amp;C S.A.S.</t>
  </si>
  <si>
    <t>recepcionfegrupoagroriente@hotmail.com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</si>
  <si>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</si>
  <si>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</si>
  <si>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</si>
  <si>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</si>
  <si>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</si>
  <si>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</si>
  <si>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</si>
  <si>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</si>
  <si>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</si>
  <si>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</si>
  <si>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</si>
  <si>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</si>
  <si>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</si>
  <si>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</si>
  <si>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</si>
  <si>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</si>
  <si>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[24Y350133082].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</si>
  <si>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[24Y3501101907]. Descripción: [Validación contiene errores en campos mandatorios.] - Errores: [Regla: DAD09e, Rechazo: La fecha de generación de la ND es diferente a la fecha de firma de la ND,Regla: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</si>
  <si>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[24Y3501101857]. Descripción: [Validación contiene errores en campos mandatorios.] - Errores: [Regla: DAD09e, Rechazo: La fecha de generación de la ND es diferente a la fecha de firma de la ND,Regla: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</si>
  <si>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[24Y3501101962]. Descripción: [Validación contiene errores en campos mandatorios.] - Errores: [Regla: DAD09e, Rechazo: La fecha de generación de la ND es diferente a la fecha de firma de la ND,Regla: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</si>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</sst>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FAB1D7-2157-4CB6-8808-F445141C34B5}" name="Errores_Emision" displayName="Errores_Emision" ref="A7:S12" totalsRowCount="1" headerRowDxfId="3" dataDxfId="42" totalsRowDxfId="43" headerRowBorderDxfId="4">
  <autoFilter ref="A7:S11" xr:uid="{1478B7B7-309B-48B3-84B6-24502B4D9A39}"/>
  <tableColumns count="19">
    <tableColumn id="1" xr3:uid="{ACEF9D20-BB72-4457-90DE-3428BFD1A99C}" name="USUARIO" totalsRowLabel="Total" dataDxfId="36" totalsRowDxfId="37"/>
    <tableColumn id="2" xr3:uid="{9F071FA1-177E-46E1-B11E-F71679E0A268}" name="AUD_UFAC" dataDxfId="34" totalsRowDxfId="35"/>
    <tableColumn id="3" xr3:uid="{AF6549F5-AA91-4A2F-9EA9-59B0757C94D3}" name="FECH_APLICA" dataDxfId="33" totalsRowDxfId="32"/>
    <tableColumn id="4" xr3:uid="{E8235158-B8F8-4486-A837-E1F34CD855DC}" name="DOCUMENTO" dataDxfId="31" totalsRowDxfId="41"/>
    <tableColumn id="5" xr3:uid="{57F40F85-3A51-4E3D-A161-ABD1D5315DEC}" name="FECH_DOCUMENTO" dataDxfId="29" totalsRowDxfId="30"/>
    <tableColumn id="6" xr3:uid="{7103C0E3-64D6-4771-9D6C-6DC35F30F9E2}" name="FAC_VLR_TOTAL" dataDxfId="28" totalsRowDxfId="27"/>
    <tableColumn id="7" xr3:uid="{9F3499C0-47C2-4D30-B21F-A5E0E79CDA2C}" name="COD_TIPO_OPERAC" dataDxfId="26" totalsRowDxfId="40"/>
    <tableColumn id="8" xr3:uid="{C9FA0A5D-6370-4955-9862-6CA30718E394}" name="TIPO_OPERAC" dataDxfId="24" totalsRowDxfId="25"/>
    <tableColumn id="9" xr3:uid="{9B8D6A37-3247-400C-AD55-CF4F510FE30B}" name="COD_SUCUR" dataDxfId="22" totalsRowDxfId="23"/>
    <tableColumn id="10" xr3:uid="{2B0B7579-9C60-4BAE-902E-DADC26347FAD}" name="SUCURSAL" dataDxfId="20" totalsRowDxfId="21"/>
    <tableColumn id="11" xr3:uid="{1EAAF145-C727-4083-BABF-CAE02571EE3D}" name="TIPO_DOCUMENTO" dataDxfId="18" totalsRowDxfId="19"/>
    <tableColumn id="12" xr3:uid="{92CCB27A-44A2-4E80-976D-B6F7911DB945}" name="FECH_FACTURA" dataDxfId="17" totalsRowDxfId="16"/>
    <tableColumn id="13" xr3:uid="{6F98F816-750C-4CF9-A10D-51A1BB1ACC99}" name="CXC_NUME" dataDxfId="15" totalsRowDxfId="39"/>
    <tableColumn id="14" xr3:uid="{3983E525-CFA8-4667-B640-5B7F765D5251}" name="AÑO" dataDxfId="13" totalsRowDxfId="14"/>
    <tableColumn id="15" xr3:uid="{AD0ABDC1-3128-4A1D-A9E1-91436AA7E7FA}" name="MES" dataDxfId="11" totalsRowDxfId="12"/>
    <tableColumn id="16" xr3:uid="{EAFA953F-8BA5-418F-9F97-0ADAD68013C8}" name="NIT" dataDxfId="9" totalsRowDxfId="10"/>
    <tableColumn id="17" xr3:uid="{377D6F39-5520-41E4-BF3C-8218164B4881}" name="NOMBRE" dataDxfId="7" totalsRowDxfId="8"/>
    <tableColumn id="18" xr3:uid="{BC3E186C-D313-48D0-89FB-D0DCF510E45B}" name="EMAIL" totalsRowFunction="count" dataDxfId="5" totalsRowDxfId="2"/>
    <tableColumn id="19" xr3:uid="{30293101-3C8B-4317-A865-1503FBC42749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8B7B7-309B-48B3-84B6-24502B4D9A39}">
  <sheetPr>
    <tabColor rgb="FF92D050"/>
  </sheetPr>
  <dimension ref="A1:S12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1.5" style="3" bestFit="1" customWidth="1"/>
    <col min="18" max="18" width="34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47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48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49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50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28</v>
      </c>
      <c r="B7" s="10" t="s">
        <v>0</v>
      </c>
      <c r="C7" s="11" t="s">
        <v>29</v>
      </c>
      <c r="D7" s="12" t="s">
        <v>30</v>
      </c>
      <c r="E7" s="11" t="s">
        <v>31</v>
      </c>
      <c r="F7" s="13" t="s">
        <v>32</v>
      </c>
      <c r="G7" s="12" t="s">
        <v>33</v>
      </c>
      <c r="H7" s="9" t="s">
        <v>34</v>
      </c>
      <c r="I7" s="9" t="s">
        <v>35</v>
      </c>
      <c r="J7" s="9" t="s">
        <v>36</v>
      </c>
      <c r="K7" s="9" t="s">
        <v>37</v>
      </c>
      <c r="L7" s="11" t="s">
        <v>38</v>
      </c>
      <c r="M7" s="12" t="s">
        <v>1</v>
      </c>
      <c r="N7" s="9" t="s">
        <v>39</v>
      </c>
      <c r="O7" s="9" t="s">
        <v>2</v>
      </c>
      <c r="P7" s="9" t="s">
        <v>40</v>
      </c>
      <c r="Q7" s="9" t="s">
        <v>41</v>
      </c>
      <c r="R7" s="9" t="s">
        <v>42</v>
      </c>
      <c r="S7" s="12" t="s">
        <v>3</v>
      </c>
    </row>
    <row r="8" spans="1:19" ht="78.75" x14ac:dyDescent="0.2">
      <c r="A8" s="3" t="s">
        <v>4</v>
      </c>
      <c r="B8" s="4">
        <v>45506</v>
      </c>
      <c r="C8" s="5">
        <v>45464</v>
      </c>
      <c r="D8" s="1">
        <v>33082</v>
      </c>
      <c r="E8" s="5">
        <v>45464</v>
      </c>
      <c r="F8" s="6">
        <v>39837292</v>
      </c>
      <c r="G8" s="1">
        <v>3512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45464</v>
      </c>
      <c r="M8" s="1">
        <v>33082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43</v>
      </c>
    </row>
    <row r="9" spans="1:19" ht="56.25" x14ac:dyDescent="0.2">
      <c r="A9" s="3" t="s">
        <v>14</v>
      </c>
      <c r="B9" s="4">
        <v>45625</v>
      </c>
      <c r="C9" s="5">
        <v>45624</v>
      </c>
      <c r="D9" s="1">
        <v>101907</v>
      </c>
      <c r="E9" s="5">
        <v>45624</v>
      </c>
      <c r="F9" s="6">
        <v>22881</v>
      </c>
      <c r="G9" s="1">
        <v>3006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45624</v>
      </c>
      <c r="M9" s="1">
        <v>101907</v>
      </c>
      <c r="N9" s="3" t="s">
        <v>9</v>
      </c>
      <c r="O9" s="3" t="s">
        <v>17</v>
      </c>
      <c r="P9" s="3" t="s">
        <v>18</v>
      </c>
      <c r="Q9" s="3" t="s">
        <v>19</v>
      </c>
      <c r="R9" s="3" t="s">
        <v>20</v>
      </c>
      <c r="S9" s="7" t="s">
        <v>44</v>
      </c>
    </row>
    <row r="10" spans="1:19" ht="56.25" x14ac:dyDescent="0.2">
      <c r="A10" s="3" t="s">
        <v>14</v>
      </c>
      <c r="B10" s="4">
        <v>45625</v>
      </c>
      <c r="C10" s="5">
        <v>45624</v>
      </c>
      <c r="D10" s="1">
        <v>101857</v>
      </c>
      <c r="E10" s="5">
        <v>45624</v>
      </c>
      <c r="F10" s="6">
        <v>135</v>
      </c>
      <c r="G10" s="1">
        <v>3006</v>
      </c>
      <c r="H10" s="3" t="s">
        <v>15</v>
      </c>
      <c r="I10" s="3" t="s">
        <v>6</v>
      </c>
      <c r="J10" s="3" t="s">
        <v>7</v>
      </c>
      <c r="K10" s="3" t="s">
        <v>16</v>
      </c>
      <c r="L10" s="5">
        <v>45624</v>
      </c>
      <c r="M10" s="1">
        <v>101857</v>
      </c>
      <c r="N10" s="3" t="s">
        <v>9</v>
      </c>
      <c r="O10" s="3" t="s">
        <v>17</v>
      </c>
      <c r="P10" s="3" t="s">
        <v>21</v>
      </c>
      <c r="Q10" s="3" t="s">
        <v>22</v>
      </c>
      <c r="R10" s="3" t="s">
        <v>23</v>
      </c>
      <c r="S10" s="7" t="s">
        <v>45</v>
      </c>
    </row>
    <row r="11" spans="1:19" ht="56.25" x14ac:dyDescent="0.2">
      <c r="A11" s="3" t="s">
        <v>14</v>
      </c>
      <c r="B11" s="4">
        <v>45625</v>
      </c>
      <c r="C11" s="5">
        <v>45624</v>
      </c>
      <c r="D11" s="1">
        <v>101962</v>
      </c>
      <c r="E11" s="5">
        <v>45624</v>
      </c>
      <c r="F11" s="6">
        <v>58</v>
      </c>
      <c r="G11" s="1">
        <v>3006</v>
      </c>
      <c r="H11" s="3" t="s">
        <v>15</v>
      </c>
      <c r="I11" s="3" t="s">
        <v>6</v>
      </c>
      <c r="J11" s="3" t="s">
        <v>7</v>
      </c>
      <c r="K11" s="3" t="s">
        <v>16</v>
      </c>
      <c r="L11" s="5">
        <v>45624</v>
      </c>
      <c r="M11" s="1">
        <v>101962</v>
      </c>
      <c r="N11" s="3" t="s">
        <v>9</v>
      </c>
      <c r="O11" s="3" t="s">
        <v>17</v>
      </c>
      <c r="P11" s="3" t="s">
        <v>24</v>
      </c>
      <c r="Q11" s="3" t="s">
        <v>25</v>
      </c>
      <c r="R11" s="3" t="s">
        <v>26</v>
      </c>
      <c r="S11" s="7" t="s">
        <v>46</v>
      </c>
    </row>
    <row r="12" spans="1:19" x14ac:dyDescent="0.2">
      <c r="A12" s="3" t="s">
        <v>27</v>
      </c>
      <c r="D12" s="2"/>
      <c r="G12" s="2"/>
      <c r="M12" s="2"/>
      <c r="R12" s="14">
        <f>SUBTOTAL(103,Errores_Emision[EMAIL])</f>
        <v>4</v>
      </c>
      <c r="S12" s="8"/>
    </row>
  </sheetData>
  <conditionalFormatting sqref="A8:S11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2024-12-26T15:48:42Z</dcterms:created>
  <dcterms:modified xsi:type="dcterms:W3CDTF">2024-12-26T15:48:44Z</dcterms:modified>
</cp:coreProperties>
</file>