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C5935AC6-F4DC-4140-BD31-35A91FDC8296}" xr6:coauthVersionLast="47" xr6:coauthVersionMax="47" xr10:uidLastSave="{00000000-0000-0000-0000-000000000000}"/>
  <bookViews>
    <workbookView xWindow="2295" yWindow="2295" windowWidth="21600" windowHeight="11385" xr2:uid="{11F49FDD-EF37-4EA4-A65A-4D3DA19B4F04}"/>
  </bookViews>
  <sheets>
    <sheet name="Error_Emision" sheetId="1" r:id="rId1"/>
  </sheets>
  <definedNames>
    <definedName name="_xlnm._FilterDatabase" localSheetId="0" hidden="1">Error_Emision!$A$7:$S$12</definedName>
    <definedName name="_xlnm.Database">Error_Emision!$A$7:$S$12</definedName>
  </definedNames>
  <calcPr calcId="191029"/>
</workbook>
</file>

<file path=xl/calcChain.xml><?xml version="1.0" encoding="utf-8"?>
<calcChain xmlns="http://schemas.openxmlformats.org/spreadsheetml/2006/main">
  <c r="R13" i="1" l="1"/>
</calcChain>
</file>

<file path=xl/sharedStrings.xml><?xml version="1.0" encoding="utf-8"?>
<sst xmlns="http://schemas.openxmlformats.org/spreadsheetml/2006/main" count="79" uniqueCount="48">
  <si>
    <t>AUD_UFAC</t>
  </si>
  <si>
    <t>CXC_NUME</t>
  </si>
  <si>
    <t>MES</t>
  </si>
  <si>
    <t>ERROR</t>
  </si>
  <si>
    <t>FACAR002</t>
  </si>
  <si>
    <t>NOTA CREDITO</t>
  </si>
  <si>
    <t>4401</t>
  </si>
  <si>
    <t>AGUACHICA</t>
  </si>
  <si>
    <t>NOTACRE</t>
  </si>
  <si>
    <t>2024</t>
  </si>
  <si>
    <t>05</t>
  </si>
  <si>
    <t>1095794821</t>
  </si>
  <si>
    <t>INGRIS YOHANA HERNANDEZ MARTINEZ</t>
  </si>
  <si>
    <t>ingris87@gmail.com</t>
  </si>
  <si>
    <t>FACON023</t>
  </si>
  <si>
    <t>9691713</t>
  </si>
  <si>
    <t>ARMANDO DURAN OLAYA .</t>
  </si>
  <si>
    <t>armandoduranolaya7@gmail.com</t>
  </si>
  <si>
    <t>06</t>
  </si>
  <si>
    <t>18916723</t>
  </si>
  <si>
    <t>LUIS ANTONIO SEDANO SANCHEZ</t>
  </si>
  <si>
    <t>18916723@recepciondefacturas.co</t>
  </si>
  <si>
    <t>FAAGUACHICA02</t>
  </si>
  <si>
    <t>07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</si>
  <si>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</si>
  <si>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</si>
  <si>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</si>
  <si>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</si>
  <si>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</si>
  <si>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</si>
  <si>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</si>
  <si>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</si>
  <si>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</si>
  <si>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</si>
  <si>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</si>
  <si>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</si>
  <si>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</si>
  <si>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</si>
  <si>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</si>
  <si>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</si>
  <si>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[24A440112084].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</si>
  <si>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[24A440112085].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ZB01, Rechazo: Error en el esquemeeeee - cvc-datatype-valid.1.2.1: '' is not a valid value for 'date'. - 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</si>
  <si>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[24A440112091].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</si>
  <si>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Reintente nuevamente. El documento aun se encuentra en estado validación (VALIDATING). -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</si>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</sst>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6275AA-7EE4-43F1-9E05-2F56C78CA41F}" name="Errores_Emision" displayName="Errores_Emision" ref="A7:S13" totalsRowCount="1" headerRowDxfId="3" dataDxfId="42" totalsRowDxfId="43" headerRowBorderDxfId="4">
  <autoFilter ref="A7:S12" xr:uid="{5CA9E8C7-A9AD-4FDC-9131-6BEA6C627A1E}"/>
  <tableColumns count="19">
    <tableColumn id="1" xr3:uid="{D44A2F2E-7EEE-4288-AAAF-73DEB397FA82}" name="USUARIO" totalsRowLabel="Total" dataDxfId="36" totalsRowDxfId="37"/>
    <tableColumn id="2" xr3:uid="{0E528003-E4A7-4372-BF9D-5DE8D727B7DB}" name="AUD_UFAC" dataDxfId="34" totalsRowDxfId="35"/>
    <tableColumn id="3" xr3:uid="{7D252F90-4EF8-420F-9F0E-45A37C6AF7BB}" name="FECH_APLICA" dataDxfId="33" totalsRowDxfId="32"/>
    <tableColumn id="4" xr3:uid="{BD830D8E-C8D7-4A0F-AAC7-D951A30924F9}" name="DOCUMENTO" dataDxfId="31" totalsRowDxfId="41"/>
    <tableColumn id="5" xr3:uid="{8CC25EA0-2E70-4D3B-93A7-65AA953EB995}" name="FECH_DOCUMENTO" dataDxfId="29" totalsRowDxfId="30"/>
    <tableColumn id="6" xr3:uid="{79442A16-B103-4828-8FE4-536683FCDE5D}" name="FAC_VLR_TOTAL" dataDxfId="28" totalsRowDxfId="27"/>
    <tableColumn id="7" xr3:uid="{E2DC9B1F-838E-4E52-B4C0-6F13543E6C2E}" name="COD_TIPO_OPERAC" dataDxfId="26" totalsRowDxfId="40"/>
    <tableColumn id="8" xr3:uid="{2542AAC4-4115-496F-8095-97797C8A3BFA}" name="TIPO_OPERAC" dataDxfId="24" totalsRowDxfId="25"/>
    <tableColumn id="9" xr3:uid="{C1CF4FAC-2C1F-4154-819D-541B0CC5D2E4}" name="COD_SUCUR" dataDxfId="22" totalsRowDxfId="23"/>
    <tableColumn id="10" xr3:uid="{258DF21F-70BF-4850-A385-EDA320127548}" name="SUCURSAL" dataDxfId="20" totalsRowDxfId="21"/>
    <tableColumn id="11" xr3:uid="{366EE8B4-F39D-4DC9-8E64-080012AD476B}" name="TIPO_DOCUMENTO" dataDxfId="18" totalsRowDxfId="19"/>
    <tableColumn id="12" xr3:uid="{1E6D0DB3-9FDF-43F1-B3BB-6DD2C1E8C833}" name="FECH_FACTURA" dataDxfId="17" totalsRowDxfId="16"/>
    <tableColumn id="13" xr3:uid="{37FBA4C0-7D54-41D3-9C19-3B5995167021}" name="CXC_NUME" dataDxfId="15" totalsRowDxfId="39"/>
    <tableColumn id="14" xr3:uid="{1AEF41D2-244D-40E2-BA01-C591F69E7558}" name="AÑO" dataDxfId="13" totalsRowDxfId="14"/>
    <tableColumn id="15" xr3:uid="{B975C152-E37F-4957-8FE2-9E8CFC62C92E}" name="MES" dataDxfId="11" totalsRowDxfId="12"/>
    <tableColumn id="16" xr3:uid="{8C4C467C-970C-48C8-B201-5B9CFA0080B5}" name="NIT" dataDxfId="9" totalsRowDxfId="10"/>
    <tableColumn id="17" xr3:uid="{6730FDB0-97BF-416E-AC1E-B7321D614436}" name="NOMBRE" dataDxfId="7" totalsRowDxfId="8"/>
    <tableColumn id="18" xr3:uid="{79071396-AE12-45DC-8F88-21B59B377248}" name="EMAIL" totalsRowFunction="count" dataDxfId="5" totalsRowDxfId="2"/>
    <tableColumn id="19" xr3:uid="{2962299C-B221-4F55-9B9A-3FD2F875D2DF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E8C7-A9AD-4FDC-9131-6BEA6C627A1E}">
  <sheetPr>
    <tabColor rgb="FF92D050"/>
  </sheetPr>
  <dimension ref="A1:S13"/>
  <sheetViews>
    <sheetView showGridLines="0" tabSelected="1" workbookViewId="0"/>
  </sheetViews>
  <sheetFormatPr baseColWidth="10" defaultRowHeight="11.25" x14ac:dyDescent="0.2"/>
  <cols>
    <col min="1" max="1" width="16.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8.5" style="3" bestFit="1" customWidth="1"/>
    <col min="18" max="18" width="28.8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44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45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46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47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25</v>
      </c>
      <c r="B7" s="10" t="s">
        <v>0</v>
      </c>
      <c r="C7" s="11" t="s">
        <v>26</v>
      </c>
      <c r="D7" s="12" t="s">
        <v>27</v>
      </c>
      <c r="E7" s="11" t="s">
        <v>28</v>
      </c>
      <c r="F7" s="13" t="s">
        <v>29</v>
      </c>
      <c r="G7" s="12" t="s">
        <v>30</v>
      </c>
      <c r="H7" s="9" t="s">
        <v>31</v>
      </c>
      <c r="I7" s="9" t="s">
        <v>32</v>
      </c>
      <c r="J7" s="9" t="s">
        <v>33</v>
      </c>
      <c r="K7" s="9" t="s">
        <v>34</v>
      </c>
      <c r="L7" s="11" t="s">
        <v>35</v>
      </c>
      <c r="M7" s="12" t="s">
        <v>1</v>
      </c>
      <c r="N7" s="9" t="s">
        <v>36</v>
      </c>
      <c r="O7" s="9" t="s">
        <v>2</v>
      </c>
      <c r="P7" s="9" t="s">
        <v>37</v>
      </c>
      <c r="Q7" s="9" t="s">
        <v>38</v>
      </c>
      <c r="R7" s="9" t="s">
        <v>39</v>
      </c>
      <c r="S7" s="12" t="s">
        <v>3</v>
      </c>
    </row>
    <row r="8" spans="1:19" ht="78.75" x14ac:dyDescent="0.2">
      <c r="A8" s="3" t="s">
        <v>4</v>
      </c>
      <c r="B8" s="4">
        <v>45414</v>
      </c>
      <c r="C8" s="5">
        <v>45414</v>
      </c>
      <c r="D8" s="1">
        <v>12084</v>
      </c>
      <c r="E8" s="5">
        <v>45414</v>
      </c>
      <c r="F8" s="6">
        <v>85841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45414</v>
      </c>
      <c r="M8" s="1">
        <v>12084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40</v>
      </c>
    </row>
    <row r="9" spans="1:19" ht="78.75" x14ac:dyDescent="0.2">
      <c r="A9" s="3" t="s">
        <v>14</v>
      </c>
      <c r="B9" s="4">
        <v>45419</v>
      </c>
      <c r="C9" s="5">
        <v>45441</v>
      </c>
      <c r="D9" s="1">
        <v>12085</v>
      </c>
      <c r="E9" s="5">
        <v>45441</v>
      </c>
      <c r="F9" s="6">
        <v>2713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45441</v>
      </c>
      <c r="M9" s="1">
        <v>12085</v>
      </c>
      <c r="N9" s="3" t="s">
        <v>9</v>
      </c>
      <c r="O9" s="3" t="s">
        <v>10</v>
      </c>
      <c r="P9" s="3" t="s">
        <v>15</v>
      </c>
      <c r="Q9" s="3" t="s">
        <v>16</v>
      </c>
      <c r="R9" s="3" t="s">
        <v>17</v>
      </c>
      <c r="S9" s="7" t="s">
        <v>41</v>
      </c>
    </row>
    <row r="10" spans="1:19" ht="67.5" x14ac:dyDescent="0.2">
      <c r="A10" s="3" t="s">
        <v>4</v>
      </c>
      <c r="B10" s="4">
        <v>45506</v>
      </c>
      <c r="C10" s="5">
        <v>45463</v>
      </c>
      <c r="D10" s="1">
        <v>12091</v>
      </c>
      <c r="E10" s="5">
        <v>45463</v>
      </c>
      <c r="F10" s="6">
        <v>103056</v>
      </c>
      <c r="G10" s="1">
        <v>3003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45463</v>
      </c>
      <c r="M10" s="1">
        <v>12091</v>
      </c>
      <c r="N10" s="3" t="s">
        <v>9</v>
      </c>
      <c r="O10" s="3" t="s">
        <v>18</v>
      </c>
      <c r="P10" s="3" t="s">
        <v>19</v>
      </c>
      <c r="Q10" s="3" t="s">
        <v>20</v>
      </c>
      <c r="R10" s="3" t="s">
        <v>21</v>
      </c>
      <c r="S10" s="7" t="s">
        <v>42</v>
      </c>
    </row>
    <row r="11" spans="1:19" ht="22.5" x14ac:dyDescent="0.2">
      <c r="A11" s="3" t="s">
        <v>22</v>
      </c>
      <c r="B11" s="4">
        <v>45499</v>
      </c>
      <c r="C11" s="5">
        <v>45499</v>
      </c>
      <c r="D11" s="1">
        <v>12099</v>
      </c>
      <c r="E11" s="5">
        <v>45499</v>
      </c>
      <c r="F11" s="6">
        <v>97691</v>
      </c>
      <c r="G11" s="1">
        <v>3003</v>
      </c>
      <c r="H11" s="3" t="s">
        <v>5</v>
      </c>
      <c r="I11" s="3" t="s">
        <v>6</v>
      </c>
      <c r="J11" s="3" t="s">
        <v>7</v>
      </c>
      <c r="K11" s="3" t="s">
        <v>8</v>
      </c>
      <c r="L11" s="5">
        <v>45499</v>
      </c>
      <c r="M11" s="1">
        <v>12099</v>
      </c>
      <c r="N11" s="3" t="s">
        <v>9</v>
      </c>
      <c r="O11" s="3" t="s">
        <v>23</v>
      </c>
      <c r="P11" s="3" t="s">
        <v>19</v>
      </c>
      <c r="Q11" s="3" t="s">
        <v>20</v>
      </c>
      <c r="R11" s="3" t="s">
        <v>21</v>
      </c>
      <c r="S11" s="7" t="s">
        <v>43</v>
      </c>
    </row>
    <row r="12" spans="1:19" ht="22.5" x14ac:dyDescent="0.2">
      <c r="A12" s="3" t="s">
        <v>22</v>
      </c>
      <c r="B12" s="4">
        <v>45499</v>
      </c>
      <c r="C12" s="5">
        <v>45499</v>
      </c>
      <c r="D12" s="1">
        <v>12100</v>
      </c>
      <c r="E12" s="5">
        <v>45499</v>
      </c>
      <c r="F12" s="6">
        <v>68573</v>
      </c>
      <c r="G12" s="1">
        <v>3003</v>
      </c>
      <c r="H12" s="3" t="s">
        <v>5</v>
      </c>
      <c r="I12" s="3" t="s">
        <v>6</v>
      </c>
      <c r="J12" s="3" t="s">
        <v>7</v>
      </c>
      <c r="K12" s="3" t="s">
        <v>8</v>
      </c>
      <c r="L12" s="5">
        <v>45499</v>
      </c>
      <c r="M12" s="1">
        <v>12100</v>
      </c>
      <c r="N12" s="3" t="s">
        <v>9</v>
      </c>
      <c r="O12" s="3" t="s">
        <v>23</v>
      </c>
      <c r="P12" s="3" t="s">
        <v>19</v>
      </c>
      <c r="Q12" s="3" t="s">
        <v>20</v>
      </c>
      <c r="R12" s="3" t="s">
        <v>21</v>
      </c>
      <c r="S12" s="7" t="s">
        <v>43</v>
      </c>
    </row>
    <row r="13" spans="1:19" x14ac:dyDescent="0.2">
      <c r="A13" s="3" t="s">
        <v>24</v>
      </c>
      <c r="D13" s="2"/>
      <c r="G13" s="2"/>
      <c r="M13" s="2"/>
      <c r="R13" s="14">
        <f>SUBTOTAL(103,Errores_Emision[EMAIL])</f>
        <v>5</v>
      </c>
      <c r="S13" s="8"/>
    </row>
  </sheetData>
  <conditionalFormatting sqref="A8:S12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2024-12-26T15:50:15Z</dcterms:created>
  <dcterms:modified xsi:type="dcterms:W3CDTF">2024-12-26T15:50:16Z</dcterms:modified>
</cp:coreProperties>
</file>