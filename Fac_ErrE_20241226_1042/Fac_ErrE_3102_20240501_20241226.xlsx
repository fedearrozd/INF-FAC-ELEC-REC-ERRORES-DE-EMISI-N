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84DA64AA-1929-4645-B9E4-1E79958C23CA}" xr6:coauthVersionLast="47" xr6:coauthVersionMax="47" xr10:uidLastSave="{00000000-0000-0000-0000-000000000000}"/>
  <bookViews>
    <workbookView xWindow="2295" yWindow="2295" windowWidth="21600" windowHeight="11385" xr2:uid="{125D4C72-5790-4AB4-997B-75BE986397BC}"/>
  </bookViews>
  <sheets>
    <sheet name="Error_Emision" sheetId="1" r:id="rId1"/>
  </sheets>
  <definedNames>
    <definedName name="_xlnm._FilterDatabase" localSheetId="0" hidden="1">Error_Emision!$A$7:$S$11</definedName>
    <definedName name="_xlnm.Database">Error_Emision!$A$7:$S$11</definedName>
  </definedNames>
  <calcPr calcId="191029"/>
</workbook>
</file>

<file path=xl/calcChain.xml><?xml version="1.0" encoding="utf-8"?>
<calcChain xmlns="http://schemas.openxmlformats.org/spreadsheetml/2006/main">
  <c r="R12" i="1" l="1"/>
</calcChain>
</file>

<file path=xl/sharedStrings.xml><?xml version="1.0" encoding="utf-8"?>
<sst xmlns="http://schemas.openxmlformats.org/spreadsheetml/2006/main" count="68" uniqueCount="49">
  <si>
    <t>AUD_UFAC</t>
  </si>
  <si>
    <t>CXC_NUME</t>
  </si>
  <si>
    <t>MES</t>
  </si>
  <si>
    <t>ERROR</t>
  </si>
  <si>
    <t>FAPTOLOPEZ04</t>
  </si>
  <si>
    <t>FACTURA AFILIACION AGRICULTORES</t>
  </si>
  <si>
    <t>3102</t>
  </si>
  <si>
    <t>PTO SERV.PUERTO LOPEZ</t>
  </si>
  <si>
    <t>FACTURA</t>
  </si>
  <si>
    <t>2024</t>
  </si>
  <si>
    <t>05</t>
  </si>
  <si>
    <t>1121896314</t>
  </si>
  <si>
    <t>JUAN DAVID TAMAYO LEON .</t>
  </si>
  <si>
    <t>tamayoleon13@gmail.com</t>
  </si>
  <si>
    <t>17387963</t>
  </si>
  <si>
    <t>JOSE ANTONIO RAMOS OSPINA</t>
  </si>
  <si>
    <t>.</t>
  </si>
  <si>
    <t>FAPTOLOPEZ03</t>
  </si>
  <si>
    <t>FACTURA INVENTARIO CONTADO</t>
  </si>
  <si>
    <t>07</t>
  </si>
  <si>
    <t>17388046</t>
  </si>
  <si>
    <t>WILLIAM ARIAS ROA</t>
  </si>
  <si>
    <t>10</t>
  </si>
  <si>
    <t>17302953</t>
  </si>
  <si>
    <t>ELADIO MEJIA DELGADO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</si>
  <si>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</si>
  <si>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</si>
  <si>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</si>
  <si>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</si>
  <si>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</si>
  <si>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</si>
  <si>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</si>
  <si>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</si>
  <si>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</si>
  <si>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</si>
  <si>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</si>
  <si>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</si>
  <si>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</si>
  <si>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</si>
  <si>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</si>
  <si>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</si>
  <si>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[310213053].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</si>
  <si>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[310213125].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</si>
  <si>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[310213420].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</si>
  <si>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Email inválido: '.'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</si>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</sst>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C67E65-EC10-4717-9B7C-417B956675CC}" name="Errores_Emision" displayName="Errores_Emision" ref="A7:S12" totalsRowCount="1" headerRowDxfId="3" dataDxfId="42" totalsRowDxfId="43" headerRowBorderDxfId="4">
  <autoFilter ref="A7:S11" xr:uid="{829DD066-39FB-4A26-A4BE-7A0B5803EBB0}"/>
  <tableColumns count="19">
    <tableColumn id="1" xr3:uid="{9BAFEB78-EF24-4C7D-B450-BC23D979C68C}" name="USUARIO" totalsRowLabel="Total" dataDxfId="36" totalsRowDxfId="37"/>
    <tableColumn id="2" xr3:uid="{B2415B41-3056-4282-A8AC-E177CD2FDF1B}" name="AUD_UFAC" dataDxfId="34" totalsRowDxfId="35"/>
    <tableColumn id="3" xr3:uid="{9A6D6EEE-5DEC-49BF-8253-F95480B4AC56}" name="FECH_APLICA" dataDxfId="33" totalsRowDxfId="32"/>
    <tableColumn id="4" xr3:uid="{56319F26-CAC3-440E-9256-9C756719B377}" name="DOCUMENTO" dataDxfId="31" totalsRowDxfId="41"/>
    <tableColumn id="5" xr3:uid="{DFA43F26-E633-4414-AFE7-6239AC40E8F2}" name="FECH_DOCUMENTO" dataDxfId="29" totalsRowDxfId="30"/>
    <tableColumn id="6" xr3:uid="{385E71DB-CAD9-483C-8683-B51B76B07F3B}" name="FAC_VLR_TOTAL" dataDxfId="28" totalsRowDxfId="27"/>
    <tableColumn id="7" xr3:uid="{75DFFF62-7F2B-4E80-B531-D5D1AD9338B7}" name="COD_TIPO_OPERAC" dataDxfId="26" totalsRowDxfId="40"/>
    <tableColumn id="8" xr3:uid="{0E1B6DBA-F087-4AAB-AC54-350F465A3841}" name="TIPO_OPERAC" dataDxfId="24" totalsRowDxfId="25"/>
    <tableColumn id="9" xr3:uid="{57505BCD-57B5-4BDE-8B38-8509DECA403F}" name="COD_SUCUR" dataDxfId="22" totalsRowDxfId="23"/>
    <tableColumn id="10" xr3:uid="{CB4F8590-3E89-4EA7-A7D3-F539109C5408}" name="SUCURSAL" dataDxfId="20" totalsRowDxfId="21"/>
    <tableColumn id="11" xr3:uid="{FF4F80A3-2E08-4AF3-A9E1-C6FB98C6B638}" name="TIPO_DOCUMENTO" dataDxfId="18" totalsRowDxfId="19"/>
    <tableColumn id="12" xr3:uid="{6887DEF7-0B21-4E48-A0E5-ECB2C7AA5262}" name="FECH_FACTURA" dataDxfId="17" totalsRowDxfId="16"/>
    <tableColumn id="13" xr3:uid="{9B8FC87E-98E3-403F-B7EA-66ACBC8D2F1E}" name="CXC_NUME" dataDxfId="15" totalsRowDxfId="39"/>
    <tableColumn id="14" xr3:uid="{C1855FEA-A6F3-4833-9B93-B43F6F5B80BC}" name="AÑO" dataDxfId="13" totalsRowDxfId="14"/>
    <tableColumn id="15" xr3:uid="{6CE5395B-AE33-462B-B460-F544563AFDC3}" name="MES" dataDxfId="11" totalsRowDxfId="12"/>
    <tableColumn id="16" xr3:uid="{C7AA6969-CE7F-40BB-A0B4-4E883F6D5D45}" name="NIT" dataDxfId="9" totalsRowDxfId="10"/>
    <tableColumn id="17" xr3:uid="{F0E10A32-D86C-4910-8F6A-DD96BC92952B}" name="NOMBRE" dataDxfId="7" totalsRowDxfId="8"/>
    <tableColumn id="18" xr3:uid="{C10CFD96-F1B5-4947-B3A4-7D8D6E68E273}" name="EMAIL" totalsRowFunction="count" dataDxfId="5" totalsRowDxfId="2"/>
    <tableColumn id="19" xr3:uid="{AC3C5B09-F737-484A-AE8B-9D7184BEE557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D066-39FB-4A26-A4BE-7A0B5803EBB0}">
  <sheetPr>
    <tabColor rgb="FF92D050"/>
  </sheetPr>
  <dimension ref="A1:S12"/>
  <sheetViews>
    <sheetView showGridLines="0" tabSelected="1" workbookViewId="0"/>
  </sheetViews>
  <sheetFormatPr baseColWidth="10" defaultRowHeight="11.25" x14ac:dyDescent="0.2"/>
  <cols>
    <col min="1" max="1" width="15.3320312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24.6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28.83203125" style="3" bestFit="1" customWidth="1"/>
    <col min="18" max="18" width="22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45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46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47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48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26</v>
      </c>
      <c r="B7" s="10" t="s">
        <v>0</v>
      </c>
      <c r="C7" s="11" t="s">
        <v>27</v>
      </c>
      <c r="D7" s="12" t="s">
        <v>28</v>
      </c>
      <c r="E7" s="11" t="s">
        <v>29</v>
      </c>
      <c r="F7" s="13" t="s">
        <v>30</v>
      </c>
      <c r="G7" s="12" t="s">
        <v>31</v>
      </c>
      <c r="H7" s="9" t="s">
        <v>32</v>
      </c>
      <c r="I7" s="9" t="s">
        <v>33</v>
      </c>
      <c r="J7" s="9" t="s">
        <v>34</v>
      </c>
      <c r="K7" s="9" t="s">
        <v>35</v>
      </c>
      <c r="L7" s="11" t="s">
        <v>36</v>
      </c>
      <c r="M7" s="12" t="s">
        <v>1</v>
      </c>
      <c r="N7" s="9" t="s">
        <v>37</v>
      </c>
      <c r="O7" s="9" t="s">
        <v>2</v>
      </c>
      <c r="P7" s="9" t="s">
        <v>38</v>
      </c>
      <c r="Q7" s="9" t="s">
        <v>39</v>
      </c>
      <c r="R7" s="9" t="s">
        <v>40</v>
      </c>
      <c r="S7" s="12" t="s">
        <v>3</v>
      </c>
    </row>
    <row r="8" spans="1:19" ht="56.25" x14ac:dyDescent="0.2">
      <c r="A8" s="3" t="s">
        <v>4</v>
      </c>
      <c r="B8" s="4">
        <v>45441</v>
      </c>
      <c r="C8" s="5">
        <v>45421</v>
      </c>
      <c r="D8" s="1">
        <v>13053</v>
      </c>
      <c r="E8" s="5">
        <v>45421</v>
      </c>
      <c r="F8" s="6">
        <v>3000</v>
      </c>
      <c r="G8" s="1">
        <v>3014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45421</v>
      </c>
      <c r="M8" s="1">
        <v>13053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41</v>
      </c>
    </row>
    <row r="9" spans="1:19" ht="56.25" x14ac:dyDescent="0.2">
      <c r="A9" s="3" t="s">
        <v>4</v>
      </c>
      <c r="B9" s="4">
        <v>45441</v>
      </c>
      <c r="C9" s="5">
        <v>45432</v>
      </c>
      <c r="D9" s="1">
        <v>13125</v>
      </c>
      <c r="E9" s="5">
        <v>45432</v>
      </c>
      <c r="F9" s="6">
        <v>20000</v>
      </c>
      <c r="G9" s="1">
        <v>3014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45432</v>
      </c>
      <c r="M9" s="1">
        <v>13125</v>
      </c>
      <c r="N9" s="3" t="s">
        <v>9</v>
      </c>
      <c r="O9" s="3" t="s">
        <v>10</v>
      </c>
      <c r="P9" s="3" t="s">
        <v>14</v>
      </c>
      <c r="Q9" s="3" t="s">
        <v>15</v>
      </c>
      <c r="R9" s="3" t="s">
        <v>16</v>
      </c>
      <c r="S9" s="7" t="s">
        <v>42</v>
      </c>
    </row>
    <row r="10" spans="1:19" ht="56.25" x14ac:dyDescent="0.2">
      <c r="A10" s="3" t="s">
        <v>17</v>
      </c>
      <c r="B10" s="4">
        <v>45506</v>
      </c>
      <c r="C10" s="5">
        <v>45484</v>
      </c>
      <c r="D10" s="1">
        <v>13420</v>
      </c>
      <c r="E10" s="5">
        <v>45484</v>
      </c>
      <c r="F10" s="6">
        <v>2518127</v>
      </c>
      <c r="G10" s="1">
        <v>3550</v>
      </c>
      <c r="H10" s="3" t="s">
        <v>18</v>
      </c>
      <c r="I10" s="3" t="s">
        <v>6</v>
      </c>
      <c r="J10" s="3" t="s">
        <v>7</v>
      </c>
      <c r="K10" s="3" t="s">
        <v>8</v>
      </c>
      <c r="L10" s="5">
        <v>45484</v>
      </c>
      <c r="M10" s="1">
        <v>13420</v>
      </c>
      <c r="N10" s="3" t="s">
        <v>9</v>
      </c>
      <c r="O10" s="3" t="s">
        <v>19</v>
      </c>
      <c r="P10" s="3" t="s">
        <v>20</v>
      </c>
      <c r="Q10" s="3" t="s">
        <v>21</v>
      </c>
      <c r="R10" s="3" t="s">
        <v>16</v>
      </c>
      <c r="S10" s="7" t="s">
        <v>43</v>
      </c>
    </row>
    <row r="11" spans="1:19" x14ac:dyDescent="0.2">
      <c r="A11" s="3" t="s">
        <v>4</v>
      </c>
      <c r="B11" s="4">
        <v>45580</v>
      </c>
      <c r="C11" s="5">
        <v>45580</v>
      </c>
      <c r="D11" s="1">
        <v>13961</v>
      </c>
      <c r="E11" s="5">
        <v>45580</v>
      </c>
      <c r="F11" s="6">
        <v>332293</v>
      </c>
      <c r="G11" s="1">
        <v>3550</v>
      </c>
      <c r="H11" s="3" t="s">
        <v>18</v>
      </c>
      <c r="I11" s="3" t="s">
        <v>6</v>
      </c>
      <c r="J11" s="3" t="s">
        <v>7</v>
      </c>
      <c r="K11" s="3" t="s">
        <v>8</v>
      </c>
      <c r="L11" s="5">
        <v>45580</v>
      </c>
      <c r="M11" s="1">
        <v>13961</v>
      </c>
      <c r="N11" s="3" t="s">
        <v>9</v>
      </c>
      <c r="O11" s="3" t="s">
        <v>22</v>
      </c>
      <c r="P11" s="3" t="s">
        <v>23</v>
      </c>
      <c r="Q11" s="3" t="s">
        <v>24</v>
      </c>
      <c r="R11" s="3" t="s">
        <v>16</v>
      </c>
      <c r="S11" s="7" t="s">
        <v>44</v>
      </c>
    </row>
    <row r="12" spans="1:19" x14ac:dyDescent="0.2">
      <c r="A12" s="3" t="s">
        <v>25</v>
      </c>
      <c r="D12" s="2"/>
      <c r="G12" s="2"/>
      <c r="M12" s="2"/>
      <c r="R12" s="14">
        <f>SUBTOTAL(103,Errores_Emision[EMAIL])</f>
        <v>4</v>
      </c>
      <c r="S12" s="8"/>
    </row>
  </sheetData>
  <conditionalFormatting sqref="A8:S11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2024-12-26T15:47:31Z</dcterms:created>
  <dcterms:modified xsi:type="dcterms:W3CDTF">2024-12-26T15:47:33Z</dcterms:modified>
</cp:coreProperties>
</file>