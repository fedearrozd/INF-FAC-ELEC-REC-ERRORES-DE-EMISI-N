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U:\ERP\SEVEN\FACTURACION\FACERREMI\Fac_ErrE_20241226_1042\"/>
    </mc:Choice>
  </mc:AlternateContent>
  <xr:revisionPtr revIDLastSave="0" documentId="13_ncr:9_{3BE040E1-FB28-4582-90FE-D564A4F8AD3F}" xr6:coauthVersionLast="47" xr6:coauthVersionMax="47" xr10:uidLastSave="{00000000-0000-0000-0000-000000000000}"/>
  <bookViews>
    <workbookView xWindow="2295" yWindow="2295" windowWidth="21600" windowHeight="11385" xr2:uid="{F1F62EB0-95F0-4A8F-A6B5-6E8F2C03B41A}"/>
  </bookViews>
  <sheets>
    <sheet name="Error_Emision" sheetId="1" r:id="rId1"/>
  </sheets>
  <definedNames>
    <definedName name="_xlnm._FilterDatabase" localSheetId="0" hidden="1">Error_Emision!$A$7:$S$14</definedName>
    <definedName name="_xlnm.Database">Error_Emision!$A$7:$S$14</definedName>
  </definedNames>
  <calcPr calcId="191029"/>
</workbook>
</file>

<file path=xl/calcChain.xml><?xml version="1.0" encoding="utf-8"?>
<calcChain xmlns="http://schemas.openxmlformats.org/spreadsheetml/2006/main">
  <c r="R15" i="1" l="1"/>
</calcChain>
</file>

<file path=xl/sharedStrings.xml><?xml version="1.0" encoding="utf-8"?>
<sst xmlns="http://schemas.openxmlformats.org/spreadsheetml/2006/main" count="101" uniqueCount="53">
  <si>
    <t>AUD_UFAC</t>
  </si>
  <si>
    <t>CXC_NUME</t>
  </si>
  <si>
    <t>MES</t>
  </si>
  <si>
    <t>ERROR</t>
  </si>
  <si>
    <t>FACAR002</t>
  </si>
  <si>
    <t>NOTA CREDITO</t>
  </si>
  <si>
    <t>4301</t>
  </si>
  <si>
    <t>FUNDACION</t>
  </si>
  <si>
    <t>NOTACRE</t>
  </si>
  <si>
    <t>2024</t>
  </si>
  <si>
    <t>05</t>
  </si>
  <si>
    <t>19611582</t>
  </si>
  <si>
    <t>MANUEL FRANCISCO MOLINA VERGARA .</t>
  </si>
  <si>
    <t>manuelfranciscomolina1234@gmail.com</t>
  </si>
  <si>
    <t>FAFUNDACIO04</t>
  </si>
  <si>
    <t>09</t>
  </si>
  <si>
    <t>891702400</t>
  </si>
  <si>
    <t>OLEAGINOSAS CARIBU LTDA. .</t>
  </si>
  <si>
    <t>oleaginosascaribu@gmail.com</t>
  </si>
  <si>
    <t>FAFUNDACIO07</t>
  </si>
  <si>
    <t>FACTURA INVENTARIO</t>
  </si>
  <si>
    <t>FACTURA</t>
  </si>
  <si>
    <t>11</t>
  </si>
  <si>
    <t>890105495</t>
  </si>
  <si>
    <t>AGROPECUARIA LA UNION S.A.S. .</t>
  </si>
  <si>
    <t>.</t>
  </si>
  <si>
    <t>Total</t>
  </si>
  <si>
    <t>USUARIO</t>
  </si>
  <si>
    <t>FECH_APLICA</t>
  </si>
  <si>
    <t>DOCUMENTO</t>
  </si>
  <si>
    <t>FECH_DOCUMENTO</t>
  </si>
  <si>
    <t>FAC_VLR_TOTAL</t>
  </si>
  <si>
    <t>COD_TIPO_OPERAC</t>
  </si>
  <si>
    <t>TIPO_OPERAC</t>
  </si>
  <si>
    <t>COD_SUCUR</t>
  </si>
  <si>
    <t>SUCURSAL</t>
  </si>
  <si>
    <t>TIPO_DOCUMENTO</t>
  </si>
  <si>
    <t>FECH_FACTURA</t>
  </si>
  <si>
    <t>AÑO</t>
  </si>
  <si>
    <t>NIT</t>
  </si>
  <si>
    <t>NOMBRE</t>
  </si>
  <si>
    <t>EMAIL</t>
  </si>
  <si>
    <t>Código de error: 400 Solicitud incorrecta. 2000 InvalidDocument: DIAN: Ocurrió un error al enviar el documento [24F430139455]. Descripción: [Validación contiene errores en campos mandatorios.] - Errores: [Regla: CAE02, Rechazo: No fue informado el inicio del periodo de facturación que modifica esta nota crédito,Regla: ZB01, Rechazo: Error en el esquemeeeee - cvc-datatype-valid.1.2.1: '' is not a valid value for 'date'. - ,Regla: CAE04, Rechazo: No fue informado el fin del periodo de facturación que modifica esta nota crédito,Regla: CAK41, Notificación: EL contenido de este elemento no corresponde al Nombre y código válido.,Regla: RUT01, Notificación: La validación del estado del RUT próximamente estará disponible.,Regla: RUT01, Notificación: La validación del estado del RUT próximamente estará disponible.]</t>
  </si>
  <si>
    <t>Código de error: 400 Solicitud incorrecta. 2000 InvalidDocument: DIAN: Ocurrió un error al enviar el documento [24F430139512]. Descripción: [Validación contiene errores en campos mandatorios.] - Errores: [Regla: CAD09e, Rechazo: La fecha de generación de la NC es diferente a la fecha de firma de la NC,Regla: LGC15, Rechazo: No es posible la transmisión de una nota crédito, por cuanto la factura ya se encuentra aceptada,Regla: CBF04, Notificación: La Descripción informada no se encuentra en la lista,Regla: RUT01, Notificación: La validación del estado del RUT próximamente estará disponible.,Regla: RUT01, Notificación: La validación del estado del RUT próximamente estará disponible.]</t>
  </si>
  <si>
    <t>Código de error: 400 Solicitud incorrecta. 2000 InvalidDocument: DIAN: Ocurrió un error al enviar el documento [24F430139513]. Descripción: [Validación contiene errores en campos mandatorios.] - Errores: [Regla: CAD09e, Rechazo: La fecha de generación de la NC es diferente a la fecha de firma de la NC,Regla: LGC15, Rechazo: No es posible la transmisión de una nota crédito, por cuanto la factura ya se encuentra aceptada,Regla: CBF04, Notificación: La Descripción informada no se encuentra en la lista,Regla: RUT01, Notificación: La validación del estado del RUT próximamente estará disponible.,Regla: RUT01, Notificación: La validación del estado del RUT próximamente estará disponible.]</t>
  </si>
  <si>
    <t>Código de error: 400 Solicitud incorrecta. 2000 InvalidDocument: DIAN: Ocurrió un error al enviar el documento [24F430139514]. Descripción: [Validación contiene errores en campos mandatorios.] - Errores: [Regla: CAD09e, Rechazo: La fecha de generación de la NC es diferente a la fecha de firma de la NC,Regla: LGC15, Rechazo: No es posible la transmisión de una nota crédito, por cuanto la factura ya se encuentra aceptada,Regla: CBF04, Notificación: La Descripción informada no se encuentra en la lista,Regla: RUT01, Notificación: La validación del estado del RUT próximamente estará disponible.,Regla: RUT01, Notificación: La validación del estado del RUT próximamente estará disponible.]</t>
  </si>
  <si>
    <t>Código de error: 400 Solicitud incorrecta. 2000 InvalidDocument: DIAN: Ocurrió un error al enviar el documento [24F430139515]. Descripción: [Validación contiene errores en campos mandatorios.] - Errores: [Regla: CAD09e, Rechazo: La fecha de generación de la NC es diferente a la fecha de firma de la NC,Regla: LGC15, Rechazo: No es posible la transmisión de una nota crédito, por cuanto la factura ya se encuentra aceptada,Regla: CBF04, Notificación: La Descripción informada no se encuentra en la lista,Regla: RUT01, Notificación: La validación del estado del RUT próximamente estará disponible.,Regla: RUT01, Notificación: La validación del estado del RUT próximamente estará disponible.]</t>
  </si>
  <si>
    <t>Código de error: 400 Solicitud incorrecta. 2000 InvalidDocument: DIAN: Ocurrió un error al enviar el documento [24F430139516]. Descripción: [Validación contiene errores en campos mandatorios.] - Errores: [Regla: CAD09e, Rechazo: La fecha de generación de la NC es diferente a la fecha de firma de la NC,Regla: LGC15, Rechazo: No es posible la transmisión de una nota crédito, por cuanto la factura ya se encuentra aceptada,Regla: CBF04, Notificación: La Descripción informada no se encuentra en la lista,Regla: RUT01, Notificación: La validación del estado del RUT próximamente estará disponible.,Regla: RUT01, Notificación: La validación del estado del RUT próximamente estará disponible.]</t>
  </si>
  <si>
    <t>Código de error: 400 Solicitud incorrecta. 2000 Email inválido: '.'</t>
  </si>
  <si>
    <t>FEDEARROZ</t>
  </si>
  <si>
    <t>Facturación Electrónica Errores Emisión</t>
  </si>
  <si>
    <t>Corte:  [ Desde 2024/05/01- Hasta 2024/12/26 ]</t>
  </si>
  <si>
    <t>Fecha y Hora de Generación:  [ 20241226_1042 ]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</si>
</sst>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yyyy/mm/dd\ hh:mm:ss"/>
    <numFmt numFmtId="166" formatCode="yyyy/mm/dd"/>
    <numFmt numFmtId="167" formatCode="#,##0.00_ ;[Red]\-#,##0.00"/>
  </numFmts>
  <fonts count="24" x14ac:knownFonts="1">
    <font>
      <sz val="8"/>
      <color theme="1"/>
      <name val="Calibri Light"/>
      <family val="2"/>
      <scheme val="major"/>
    </font>
    <font>
      <sz val="8"/>
      <color theme="1"/>
      <name val="Calibri Light"/>
      <family val="2"/>
      <scheme val="major"/>
    </font>
    <font>
      <sz val="18"/>
      <color theme="3"/>
      <name val="Calibri Light"/>
      <family val="2"/>
      <scheme val="major"/>
    </font>
    <font>
      <b/>
      <sz val="15"/>
      <color theme="3"/>
      <name val="Calibri Light"/>
      <family val="2"/>
      <scheme val="major"/>
    </font>
    <font>
      <b/>
      <sz val="13"/>
      <color theme="3"/>
      <name val="Calibri Light"/>
      <family val="2"/>
      <scheme val="major"/>
    </font>
    <font>
      <b/>
      <sz val="11"/>
      <color theme="3"/>
      <name val="Calibri Light"/>
      <family val="2"/>
      <scheme val="major"/>
    </font>
    <font>
      <sz val="8"/>
      <color rgb="FF006100"/>
      <name val="Calibri Light"/>
      <family val="2"/>
      <scheme val="major"/>
    </font>
    <font>
      <sz val="8"/>
      <color rgb="FF9C0006"/>
      <name val="Calibri Light"/>
      <family val="2"/>
      <scheme val="major"/>
    </font>
    <font>
      <sz val="8"/>
      <color rgb="FF9C5700"/>
      <name val="Calibri Light"/>
      <family val="2"/>
      <scheme val="major"/>
    </font>
    <font>
      <sz val="8"/>
      <color rgb="FF3F3F76"/>
      <name val="Calibri Light"/>
      <family val="2"/>
      <scheme val="major"/>
    </font>
    <font>
      <b/>
      <sz val="8"/>
      <color rgb="FF3F3F3F"/>
      <name val="Calibri Light"/>
      <family val="2"/>
      <scheme val="major"/>
    </font>
    <font>
      <b/>
      <sz val="8"/>
      <color rgb="FFFA7D00"/>
      <name val="Calibri Light"/>
      <family val="2"/>
      <scheme val="major"/>
    </font>
    <font>
      <sz val="8"/>
      <color rgb="FFFA7D00"/>
      <name val="Calibri Light"/>
      <family val="2"/>
      <scheme val="major"/>
    </font>
    <font>
      <b/>
      <sz val="8"/>
      <color theme="0"/>
      <name val="Calibri Light"/>
      <family val="2"/>
      <scheme val="major"/>
    </font>
    <font>
      <sz val="8"/>
      <color rgb="FFFF0000"/>
      <name val="Calibri Light"/>
      <family val="2"/>
      <scheme val="major"/>
    </font>
    <font>
      <i/>
      <sz val="8"/>
      <color rgb="FF7F7F7F"/>
      <name val="Calibri Light"/>
      <family val="2"/>
      <scheme val="major"/>
    </font>
    <font>
      <b/>
      <sz val="8"/>
      <color theme="1"/>
      <name val="Calibri Light"/>
      <family val="2"/>
      <scheme val="major"/>
    </font>
    <font>
      <sz val="8"/>
      <color theme="0"/>
      <name val="Calibri Light"/>
      <family val="2"/>
      <scheme val="major"/>
    </font>
    <font>
      <sz val="8"/>
      <name val="Times New Roman"/>
      <family val="1"/>
    </font>
    <font>
      <b/>
      <sz val="8"/>
      <color indexed="9"/>
      <name val="Times New Roman"/>
      <family val="1"/>
    </font>
    <font>
      <b/>
      <sz val="13"/>
      <color indexed="17"/>
      <name val="Times New Roman"/>
      <family val="1"/>
    </font>
    <font>
      <b/>
      <sz val="12"/>
      <color indexed="17"/>
      <name val="Times New Roman"/>
      <family val="1"/>
    </font>
    <font>
      <b/>
      <sz val="11"/>
      <color indexed="17"/>
      <name val="Times New Roman"/>
      <family val="1"/>
    </font>
    <font>
      <b/>
      <sz val="10"/>
      <color indexed="17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7D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9">
    <xf numFmtId="0" fontId="0" fillId="0" borderId="0" xfId="0"/>
    <xf numFmtId="1" fontId="18" fillId="0" borderId="0" xfId="0" applyNumberFormat="1" applyFont="1"/>
    <xf numFmtId="0" fontId="18" fillId="0" borderId="0" xfId="0" applyFont="1"/>
    <xf numFmtId="49" fontId="18" fillId="0" borderId="0" xfId="0" applyNumberFormat="1" applyFont="1"/>
    <xf numFmtId="165" fontId="18" fillId="0" borderId="0" xfId="0" applyNumberFormat="1" applyFont="1"/>
    <xf numFmtId="166" fontId="18" fillId="0" borderId="0" xfId="0" applyNumberFormat="1" applyFont="1"/>
    <xf numFmtId="167" fontId="18" fillId="0" borderId="0" xfId="0" applyNumberFormat="1" applyFont="1"/>
    <xf numFmtId="1" fontId="18" fillId="0" borderId="0" xfId="0" applyNumberFormat="1" applyFont="1" applyAlignment="1">
      <alignment wrapText="1"/>
    </xf>
    <xf numFmtId="0" fontId="18" fillId="0" borderId="0" xfId="0" applyFont="1" applyAlignment="1">
      <alignment wrapText="1"/>
    </xf>
    <xf numFmtId="49" fontId="19" fillId="33" borderId="10" xfId="0" applyNumberFormat="1" applyFont="1" applyFill="1" applyBorder="1" applyAlignment="1">
      <alignment horizontal="center"/>
    </xf>
    <xf numFmtId="165" fontId="19" fillId="33" borderId="10" xfId="0" applyNumberFormat="1" applyFont="1" applyFill="1" applyBorder="1" applyAlignment="1">
      <alignment horizontal="center"/>
    </xf>
    <xf numFmtId="166" fontId="19" fillId="33" borderId="10" xfId="0" applyNumberFormat="1" applyFont="1" applyFill="1" applyBorder="1" applyAlignment="1">
      <alignment horizontal="center"/>
    </xf>
    <xf numFmtId="1" fontId="19" fillId="33" borderId="10" xfId="0" applyNumberFormat="1" applyFont="1" applyFill="1" applyBorder="1" applyAlignment="1">
      <alignment horizontal="center"/>
    </xf>
    <xf numFmtId="167" fontId="19" fillId="33" borderId="10" xfId="0" applyNumberFormat="1" applyFont="1" applyFill="1" applyBorder="1" applyAlignment="1">
      <alignment horizontal="center"/>
    </xf>
    <xf numFmtId="0" fontId="18" fillId="0" borderId="0" xfId="0" applyNumberFormat="1" applyFont="1"/>
    <xf numFmtId="49" fontId="20" fillId="0" borderId="0" xfId="0" applyNumberFormat="1" applyFont="1"/>
    <xf numFmtId="165" fontId="20" fillId="0" borderId="0" xfId="0" applyNumberFormat="1" applyFont="1"/>
    <xf numFmtId="166" fontId="20" fillId="0" borderId="0" xfId="0" applyNumberFormat="1" applyFont="1"/>
    <xf numFmtId="1" fontId="20" fillId="0" borderId="0" xfId="0" applyNumberFormat="1" applyFont="1"/>
    <xf numFmtId="167" fontId="20" fillId="0" borderId="0" xfId="0" applyNumberFormat="1" applyFont="1"/>
    <xf numFmtId="0" fontId="20" fillId="0" borderId="0" xfId="0" applyFont="1"/>
    <xf numFmtId="49" fontId="21" fillId="0" borderId="0" xfId="0" applyNumberFormat="1" applyFont="1"/>
    <xf numFmtId="165" fontId="21" fillId="0" borderId="0" xfId="0" applyNumberFormat="1" applyFont="1"/>
    <xf numFmtId="166" fontId="21" fillId="0" borderId="0" xfId="0" applyNumberFormat="1" applyFont="1"/>
    <xf numFmtId="1" fontId="21" fillId="0" borderId="0" xfId="0" applyNumberFormat="1" applyFont="1"/>
    <xf numFmtId="167" fontId="21" fillId="0" borderId="0" xfId="0" applyNumberFormat="1" applyFont="1"/>
    <xf numFmtId="0" fontId="21" fillId="0" borderId="0" xfId="0" applyFont="1"/>
    <xf numFmtId="49" fontId="22" fillId="0" borderId="0" xfId="0" applyNumberFormat="1" applyFont="1"/>
    <xf numFmtId="165" fontId="22" fillId="0" borderId="0" xfId="0" applyNumberFormat="1" applyFont="1"/>
    <xf numFmtId="166" fontId="22" fillId="0" borderId="0" xfId="0" applyNumberFormat="1" applyFont="1"/>
    <xf numFmtId="1" fontId="22" fillId="0" borderId="0" xfId="0" applyNumberFormat="1" applyFont="1"/>
    <xf numFmtId="167" fontId="22" fillId="0" borderId="0" xfId="0" applyNumberFormat="1" applyFont="1"/>
    <xf numFmtId="0" fontId="22" fillId="0" borderId="0" xfId="0" applyFont="1"/>
    <xf numFmtId="49" fontId="23" fillId="0" borderId="0" xfId="0" applyNumberFormat="1" applyFont="1"/>
    <xf numFmtId="165" fontId="23" fillId="0" borderId="0" xfId="0" applyNumberFormat="1" applyFont="1"/>
    <xf numFmtId="166" fontId="23" fillId="0" borderId="0" xfId="0" applyNumberFormat="1" applyFont="1"/>
    <xf numFmtId="1" fontId="23" fillId="0" borderId="0" xfId="0" applyNumberFormat="1" applyFont="1"/>
    <xf numFmtId="167" fontId="23" fillId="0" borderId="0" xfId="0" applyNumberFormat="1" applyFont="1"/>
    <xf numFmtId="0" fontId="23" fillId="0" borderId="0" xfId="0" applyFo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44">
    <dxf>
      <font>
        <color theme="0"/>
      </font>
      <fill>
        <patternFill patternType="solid">
          <fgColor indexed="64"/>
          <bgColor rgb="FFC00000"/>
        </patternFill>
      </fill>
    </dxf>
    <dxf>
      <font>
        <color rgb="FFC00000"/>
      </font>
      <fill>
        <patternFill patternType="solid">
          <fgColor indexed="64"/>
          <bgColor theme="2" tint="-0.2499465926084170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/>
        <i val="0"/>
        <strike val="0"/>
        <outline val="0"/>
        <shadow val="0"/>
        <u val="none"/>
        <vertAlign val="baseline"/>
        <sz val="8"/>
        <color indexed="9"/>
        <name val="Times New Roman"/>
        <family val="1"/>
        <scheme val="none"/>
      </font>
      <numFmt numFmtId="1" formatCode="0"/>
      <fill>
        <patternFill patternType="solid">
          <fgColor indexed="64"/>
          <bgColor rgb="FF007D00"/>
        </patternFill>
      </fill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border outline="0">
        <bottom style="medium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  <alignment horizontal="general" vertical="bottom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7" formatCode="#,##0.00_ ;[Red]\-#,##0.0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7" formatCode="#,##0.00_ ;[Red]\-#,##0.0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5" formatCode="yyyy/mm/dd\ hh:mm:ss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5" formatCode="yyyy/mm/dd\ hh:mm:ss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81B601B-7A95-446E-A90F-CA3D15FB97C9}" name="Errores_Emision" displayName="Errores_Emision" ref="A7:S15" totalsRowCount="1" headerRowDxfId="3" dataDxfId="42" totalsRowDxfId="43" headerRowBorderDxfId="4">
  <autoFilter ref="A7:S14" xr:uid="{3971DD6E-EFD9-406D-890E-0E95A4C4BB6C}"/>
  <tableColumns count="19">
    <tableColumn id="1" xr3:uid="{F5811910-2E74-4B88-A331-E0FCE205726B}" name="USUARIO" totalsRowLabel="Total" dataDxfId="36" totalsRowDxfId="37"/>
    <tableColumn id="2" xr3:uid="{12BF6268-46C6-4F25-B59C-D364FAFCE80D}" name="AUD_UFAC" dataDxfId="34" totalsRowDxfId="35"/>
    <tableColumn id="3" xr3:uid="{64F29549-CD69-4892-AB05-0506957DA527}" name="FECH_APLICA" dataDxfId="33" totalsRowDxfId="32"/>
    <tableColumn id="4" xr3:uid="{38E83F3D-5E99-4281-A4A5-543255EA0137}" name="DOCUMENTO" dataDxfId="31" totalsRowDxfId="41"/>
    <tableColumn id="5" xr3:uid="{4326761B-76CB-4630-9DC2-0B0C26B41CD2}" name="FECH_DOCUMENTO" dataDxfId="29" totalsRowDxfId="30"/>
    <tableColumn id="6" xr3:uid="{8373BF35-3A48-4874-A400-F00C75AD9710}" name="FAC_VLR_TOTAL" dataDxfId="28" totalsRowDxfId="27"/>
    <tableColumn id="7" xr3:uid="{2A126CF6-569B-480F-8C01-552886D889E6}" name="COD_TIPO_OPERAC" dataDxfId="26" totalsRowDxfId="40"/>
    <tableColumn id="8" xr3:uid="{93A3AE4F-B25A-4591-8B1B-EEA725426A1B}" name="TIPO_OPERAC" dataDxfId="24" totalsRowDxfId="25"/>
    <tableColumn id="9" xr3:uid="{C4328EC1-FFCA-4599-864C-54FC8A9DD8A5}" name="COD_SUCUR" dataDxfId="22" totalsRowDxfId="23"/>
    <tableColumn id="10" xr3:uid="{97529DFE-20DE-49E3-BAA2-181D3F2B3355}" name="SUCURSAL" dataDxfId="20" totalsRowDxfId="21"/>
    <tableColumn id="11" xr3:uid="{D4F8629E-910D-47A6-9B2B-95D50D4CF600}" name="TIPO_DOCUMENTO" dataDxfId="18" totalsRowDxfId="19"/>
    <tableColumn id="12" xr3:uid="{5C2847CB-C2E4-440A-862B-4F032AAB4DCD}" name="FECH_FACTURA" dataDxfId="17" totalsRowDxfId="16"/>
    <tableColumn id="13" xr3:uid="{9B1D6E32-40B7-491B-8C94-9A60CB4C334C}" name="CXC_NUME" dataDxfId="15" totalsRowDxfId="39"/>
    <tableColumn id="14" xr3:uid="{A3E1C24E-044F-4089-858F-9C212F8DEC6B}" name="AÑO" dataDxfId="13" totalsRowDxfId="14"/>
    <tableColumn id="15" xr3:uid="{FDB02B88-DBF7-4BC1-9CA5-D26A037FB64C}" name="MES" dataDxfId="11" totalsRowDxfId="12"/>
    <tableColumn id="16" xr3:uid="{A72C1EAF-B859-4621-AAED-C3DC696CBD0C}" name="NIT" dataDxfId="9" totalsRowDxfId="10"/>
    <tableColumn id="17" xr3:uid="{4DFAFD73-709B-43B0-83A3-DA1EF2312FBA}" name="NOMBRE" dataDxfId="7" totalsRowDxfId="8"/>
    <tableColumn id="18" xr3:uid="{824AA275-009E-4562-AA4F-485A363A6CDF}" name="EMAIL" totalsRowFunction="count" dataDxfId="5" totalsRowDxfId="2"/>
    <tableColumn id="19" xr3:uid="{48A35A55-401C-489B-AADC-A2EB3862D615}" name="ERROR" dataDxfId="6" totalsRowDxfId="38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71DD6E-EFD9-406D-890E-0E95A4C4BB6C}">
  <sheetPr>
    <tabColor rgb="FF92D050"/>
  </sheetPr>
  <dimension ref="A1:S15"/>
  <sheetViews>
    <sheetView showGridLines="0" tabSelected="1" workbookViewId="0"/>
  </sheetViews>
  <sheetFormatPr baseColWidth="10" defaultRowHeight="11.25" x14ac:dyDescent="0.2"/>
  <cols>
    <col min="1" max="1" width="15" style="3" bestFit="1" customWidth="1"/>
    <col min="2" max="2" width="17.83203125" style="4" bestFit="1" customWidth="1"/>
    <col min="3" max="3" width="18.6640625" style="5" bestFit="1" customWidth="1"/>
    <col min="4" max="4" width="18" style="1" bestFit="1" customWidth="1"/>
    <col min="5" max="5" width="24.1640625" style="5" bestFit="1" customWidth="1"/>
    <col min="6" max="6" width="21.5" style="6" bestFit="1" customWidth="1"/>
    <col min="7" max="7" width="24.6640625" style="1" bestFit="1" customWidth="1"/>
    <col min="8" max="8" width="22.1640625" style="3" bestFit="1" customWidth="1"/>
    <col min="9" max="9" width="17.6640625" style="3" bestFit="1" customWidth="1"/>
    <col min="10" max="10" width="15.83203125" style="3" bestFit="1" customWidth="1"/>
    <col min="11" max="11" width="23.6640625" style="3" bestFit="1" customWidth="1"/>
    <col min="12" max="12" width="20.33203125" style="5" bestFit="1" customWidth="1"/>
    <col min="13" max="13" width="16" style="1" bestFit="1" customWidth="1"/>
    <col min="14" max="14" width="9.83203125" style="3" bestFit="1" customWidth="1"/>
    <col min="15" max="15" width="9.33203125" style="3" bestFit="1" customWidth="1"/>
    <col min="16" max="16" width="10.1640625" style="3" bestFit="1" customWidth="1"/>
    <col min="17" max="17" width="38.5" style="3" bestFit="1" customWidth="1"/>
    <col min="18" max="18" width="33.33203125" style="3" bestFit="1" customWidth="1"/>
    <col min="19" max="19" width="100.83203125" style="1" customWidth="1"/>
    <col min="20" max="16384" width="12" style="2"/>
  </cols>
  <sheetData>
    <row r="1" spans="1:19" s="20" customFormat="1" ht="16.5" x14ac:dyDescent="0.25">
      <c r="A1" s="15" t="s">
        <v>49</v>
      </c>
      <c r="B1" s="16"/>
      <c r="C1" s="17"/>
      <c r="D1" s="18"/>
      <c r="E1" s="17"/>
      <c r="F1" s="19"/>
      <c r="G1" s="18"/>
      <c r="H1" s="15"/>
      <c r="I1" s="15"/>
      <c r="J1" s="15"/>
      <c r="K1" s="15"/>
      <c r="L1" s="17"/>
      <c r="M1" s="18"/>
      <c r="N1" s="15"/>
      <c r="O1" s="15"/>
      <c r="P1" s="15"/>
      <c r="Q1" s="15"/>
      <c r="R1" s="15"/>
      <c r="S1" s="18"/>
    </row>
    <row r="2" spans="1:19" s="26" customFormat="1" ht="15.75" x14ac:dyDescent="0.25">
      <c r="A2" s="21" t="s">
        <v>50</v>
      </c>
      <c r="B2" s="22"/>
      <c r="C2" s="23"/>
      <c r="D2" s="24"/>
      <c r="E2" s="23"/>
      <c r="F2" s="25"/>
      <c r="G2" s="24"/>
      <c r="H2" s="21"/>
      <c r="I2" s="21"/>
      <c r="J2" s="21"/>
      <c r="K2" s="21"/>
      <c r="L2" s="23"/>
      <c r="M2" s="24"/>
      <c r="N2" s="21"/>
      <c r="O2" s="21"/>
      <c r="P2" s="21"/>
      <c r="Q2" s="21"/>
      <c r="R2" s="21"/>
      <c r="S2" s="24"/>
    </row>
    <row r="3" spans="1:19" s="32" customFormat="1" ht="14.25" x14ac:dyDescent="0.2">
      <c r="A3" s="27" t="s">
        <v>51</v>
      </c>
      <c r="B3" s="28"/>
      <c r="C3" s="29"/>
      <c r="D3" s="30"/>
      <c r="E3" s="29"/>
      <c r="F3" s="31"/>
      <c r="G3" s="30"/>
      <c r="H3" s="27"/>
      <c r="I3" s="27"/>
      <c r="J3" s="27"/>
      <c r="K3" s="27"/>
      <c r="L3" s="29"/>
      <c r="M3" s="30"/>
      <c r="N3" s="27"/>
      <c r="O3" s="27"/>
      <c r="P3" s="27"/>
      <c r="Q3" s="27"/>
      <c r="R3" s="27"/>
      <c r="S3" s="30"/>
    </row>
    <row r="4" spans="1:19" s="38" customFormat="1" ht="12.75" x14ac:dyDescent="0.2">
      <c r="A4" s="33" t="s">
        <v>52</v>
      </c>
      <c r="B4" s="34"/>
      <c r="C4" s="35"/>
      <c r="D4" s="36"/>
      <c r="E4" s="35"/>
      <c r="F4" s="37"/>
      <c r="G4" s="36"/>
      <c r="H4" s="33"/>
      <c r="I4" s="33"/>
      <c r="J4" s="33"/>
      <c r="K4" s="33"/>
      <c r="L4" s="35"/>
      <c r="M4" s="36"/>
      <c r="N4" s="33"/>
      <c r="O4" s="33"/>
      <c r="P4" s="33"/>
      <c r="Q4" s="33"/>
      <c r="R4" s="33"/>
      <c r="S4" s="36"/>
    </row>
    <row r="6" spans="1:19" ht="12" thickBot="1" x14ac:dyDescent="0.25"/>
    <row r="7" spans="1:19" ht="12" thickBot="1" x14ac:dyDescent="0.25">
      <c r="A7" s="9" t="s">
        <v>27</v>
      </c>
      <c r="B7" s="10" t="s">
        <v>0</v>
      </c>
      <c r="C7" s="11" t="s">
        <v>28</v>
      </c>
      <c r="D7" s="12" t="s">
        <v>29</v>
      </c>
      <c r="E7" s="11" t="s">
        <v>30</v>
      </c>
      <c r="F7" s="13" t="s">
        <v>31</v>
      </c>
      <c r="G7" s="12" t="s">
        <v>32</v>
      </c>
      <c r="H7" s="9" t="s">
        <v>33</v>
      </c>
      <c r="I7" s="9" t="s">
        <v>34</v>
      </c>
      <c r="J7" s="9" t="s">
        <v>35</v>
      </c>
      <c r="K7" s="9" t="s">
        <v>36</v>
      </c>
      <c r="L7" s="11" t="s">
        <v>37</v>
      </c>
      <c r="M7" s="12" t="s">
        <v>1</v>
      </c>
      <c r="N7" s="9" t="s">
        <v>38</v>
      </c>
      <c r="O7" s="9" t="s">
        <v>2</v>
      </c>
      <c r="P7" s="9" t="s">
        <v>39</v>
      </c>
      <c r="Q7" s="9" t="s">
        <v>40</v>
      </c>
      <c r="R7" s="9" t="s">
        <v>41</v>
      </c>
      <c r="S7" s="12" t="s">
        <v>3</v>
      </c>
    </row>
    <row r="8" spans="1:19" ht="78.75" x14ac:dyDescent="0.2">
      <c r="A8" s="3" t="s">
        <v>4</v>
      </c>
      <c r="B8" s="4">
        <v>45422</v>
      </c>
      <c r="C8" s="5">
        <v>45422</v>
      </c>
      <c r="D8" s="1">
        <v>39455</v>
      </c>
      <c r="E8" s="5">
        <v>45422</v>
      </c>
      <c r="F8" s="6">
        <v>26884</v>
      </c>
      <c r="G8" s="1">
        <v>3003</v>
      </c>
      <c r="H8" s="3" t="s">
        <v>5</v>
      </c>
      <c r="I8" s="3" t="s">
        <v>6</v>
      </c>
      <c r="J8" s="3" t="s">
        <v>7</v>
      </c>
      <c r="K8" s="3" t="s">
        <v>8</v>
      </c>
      <c r="L8" s="5">
        <v>45422</v>
      </c>
      <c r="M8" s="1">
        <v>39455</v>
      </c>
      <c r="N8" s="3" t="s">
        <v>9</v>
      </c>
      <c r="O8" s="3" t="s">
        <v>10</v>
      </c>
      <c r="P8" s="3" t="s">
        <v>11</v>
      </c>
      <c r="Q8" s="3" t="s">
        <v>12</v>
      </c>
      <c r="R8" s="3" t="s">
        <v>13</v>
      </c>
      <c r="S8" s="7" t="s">
        <v>42</v>
      </c>
    </row>
    <row r="9" spans="1:19" ht="67.5" x14ac:dyDescent="0.2">
      <c r="A9" s="3" t="s">
        <v>14</v>
      </c>
      <c r="B9" s="4">
        <v>45568</v>
      </c>
      <c r="C9" s="5">
        <v>45554</v>
      </c>
      <c r="D9" s="1">
        <v>39512</v>
      </c>
      <c r="E9" s="5">
        <v>45554</v>
      </c>
      <c r="F9" s="6">
        <v>1425</v>
      </c>
      <c r="G9" s="1">
        <v>3003</v>
      </c>
      <c r="H9" s="3" t="s">
        <v>5</v>
      </c>
      <c r="I9" s="3" t="s">
        <v>6</v>
      </c>
      <c r="J9" s="3" t="s">
        <v>7</v>
      </c>
      <c r="K9" s="3" t="s">
        <v>8</v>
      </c>
      <c r="L9" s="5">
        <v>45554</v>
      </c>
      <c r="M9" s="1">
        <v>39512</v>
      </c>
      <c r="N9" s="3" t="s">
        <v>9</v>
      </c>
      <c r="O9" s="3" t="s">
        <v>15</v>
      </c>
      <c r="P9" s="3" t="s">
        <v>16</v>
      </c>
      <c r="Q9" s="3" t="s">
        <v>17</v>
      </c>
      <c r="R9" s="3" t="s">
        <v>18</v>
      </c>
      <c r="S9" s="7" t="s">
        <v>43</v>
      </c>
    </row>
    <row r="10" spans="1:19" ht="67.5" x14ac:dyDescent="0.2">
      <c r="A10" s="3" t="s">
        <v>14</v>
      </c>
      <c r="B10" s="4">
        <v>45568</v>
      </c>
      <c r="C10" s="5">
        <v>45554</v>
      </c>
      <c r="D10" s="1">
        <v>39513</v>
      </c>
      <c r="E10" s="5">
        <v>45554</v>
      </c>
      <c r="F10" s="6">
        <v>1456</v>
      </c>
      <c r="G10" s="1">
        <v>3003</v>
      </c>
      <c r="H10" s="3" t="s">
        <v>5</v>
      </c>
      <c r="I10" s="3" t="s">
        <v>6</v>
      </c>
      <c r="J10" s="3" t="s">
        <v>7</v>
      </c>
      <c r="K10" s="3" t="s">
        <v>8</v>
      </c>
      <c r="L10" s="5">
        <v>45554</v>
      </c>
      <c r="M10" s="1">
        <v>39513</v>
      </c>
      <c r="N10" s="3" t="s">
        <v>9</v>
      </c>
      <c r="O10" s="3" t="s">
        <v>15</v>
      </c>
      <c r="P10" s="3" t="s">
        <v>16</v>
      </c>
      <c r="Q10" s="3" t="s">
        <v>17</v>
      </c>
      <c r="R10" s="3" t="s">
        <v>18</v>
      </c>
      <c r="S10" s="7" t="s">
        <v>44</v>
      </c>
    </row>
    <row r="11" spans="1:19" ht="67.5" x14ac:dyDescent="0.2">
      <c r="A11" s="3" t="s">
        <v>14</v>
      </c>
      <c r="B11" s="4">
        <v>45568</v>
      </c>
      <c r="C11" s="5">
        <v>45554</v>
      </c>
      <c r="D11" s="1">
        <v>39514</v>
      </c>
      <c r="E11" s="5">
        <v>45554</v>
      </c>
      <c r="F11" s="6">
        <v>9618</v>
      </c>
      <c r="G11" s="1">
        <v>3003</v>
      </c>
      <c r="H11" s="3" t="s">
        <v>5</v>
      </c>
      <c r="I11" s="3" t="s">
        <v>6</v>
      </c>
      <c r="J11" s="3" t="s">
        <v>7</v>
      </c>
      <c r="K11" s="3" t="s">
        <v>8</v>
      </c>
      <c r="L11" s="5">
        <v>45554</v>
      </c>
      <c r="M11" s="1">
        <v>39514</v>
      </c>
      <c r="N11" s="3" t="s">
        <v>9</v>
      </c>
      <c r="O11" s="3" t="s">
        <v>15</v>
      </c>
      <c r="P11" s="3" t="s">
        <v>16</v>
      </c>
      <c r="Q11" s="3" t="s">
        <v>17</v>
      </c>
      <c r="R11" s="3" t="s">
        <v>18</v>
      </c>
      <c r="S11" s="7" t="s">
        <v>45</v>
      </c>
    </row>
    <row r="12" spans="1:19" ht="67.5" x14ac:dyDescent="0.2">
      <c r="A12" s="3" t="s">
        <v>14</v>
      </c>
      <c r="B12" s="4">
        <v>45568</v>
      </c>
      <c r="C12" s="5">
        <v>45554</v>
      </c>
      <c r="D12" s="1">
        <v>39515</v>
      </c>
      <c r="E12" s="5">
        <v>45554</v>
      </c>
      <c r="F12" s="6">
        <v>6290</v>
      </c>
      <c r="G12" s="1">
        <v>3003</v>
      </c>
      <c r="H12" s="3" t="s">
        <v>5</v>
      </c>
      <c r="I12" s="3" t="s">
        <v>6</v>
      </c>
      <c r="J12" s="3" t="s">
        <v>7</v>
      </c>
      <c r="K12" s="3" t="s">
        <v>8</v>
      </c>
      <c r="L12" s="5">
        <v>45554</v>
      </c>
      <c r="M12" s="1">
        <v>39515</v>
      </c>
      <c r="N12" s="3" t="s">
        <v>9</v>
      </c>
      <c r="O12" s="3" t="s">
        <v>15</v>
      </c>
      <c r="P12" s="3" t="s">
        <v>16</v>
      </c>
      <c r="Q12" s="3" t="s">
        <v>17</v>
      </c>
      <c r="R12" s="3" t="s">
        <v>18</v>
      </c>
      <c r="S12" s="7" t="s">
        <v>46</v>
      </c>
    </row>
    <row r="13" spans="1:19" ht="67.5" x14ac:dyDescent="0.2">
      <c r="A13" s="3" t="s">
        <v>14</v>
      </c>
      <c r="B13" s="4">
        <v>45568</v>
      </c>
      <c r="C13" s="5">
        <v>45554</v>
      </c>
      <c r="D13" s="1">
        <v>39516</v>
      </c>
      <c r="E13" s="5">
        <v>45554</v>
      </c>
      <c r="F13" s="6">
        <v>3661</v>
      </c>
      <c r="G13" s="1">
        <v>3003</v>
      </c>
      <c r="H13" s="3" t="s">
        <v>5</v>
      </c>
      <c r="I13" s="3" t="s">
        <v>6</v>
      </c>
      <c r="J13" s="3" t="s">
        <v>7</v>
      </c>
      <c r="K13" s="3" t="s">
        <v>8</v>
      </c>
      <c r="L13" s="5">
        <v>45554</v>
      </c>
      <c r="M13" s="1">
        <v>39516</v>
      </c>
      <c r="N13" s="3" t="s">
        <v>9</v>
      </c>
      <c r="O13" s="3" t="s">
        <v>15</v>
      </c>
      <c r="P13" s="3" t="s">
        <v>16</v>
      </c>
      <c r="Q13" s="3" t="s">
        <v>17</v>
      </c>
      <c r="R13" s="3" t="s">
        <v>18</v>
      </c>
      <c r="S13" s="7" t="s">
        <v>47</v>
      </c>
    </row>
    <row r="14" spans="1:19" x14ac:dyDescent="0.2">
      <c r="A14" s="3" t="s">
        <v>19</v>
      </c>
      <c r="B14" s="4">
        <v>45618</v>
      </c>
      <c r="C14" s="5">
        <v>45610</v>
      </c>
      <c r="D14" s="1">
        <v>46612</v>
      </c>
      <c r="E14" s="5">
        <v>45610</v>
      </c>
      <c r="F14" s="6">
        <v>811993</v>
      </c>
      <c r="G14" s="1">
        <v>3511</v>
      </c>
      <c r="H14" s="3" t="s">
        <v>20</v>
      </c>
      <c r="I14" s="3" t="s">
        <v>6</v>
      </c>
      <c r="J14" s="3" t="s">
        <v>7</v>
      </c>
      <c r="K14" s="3" t="s">
        <v>21</v>
      </c>
      <c r="L14" s="5">
        <v>45610</v>
      </c>
      <c r="M14" s="1">
        <v>46612</v>
      </c>
      <c r="N14" s="3" t="s">
        <v>9</v>
      </c>
      <c r="O14" s="3" t="s">
        <v>22</v>
      </c>
      <c r="P14" s="3" t="s">
        <v>23</v>
      </c>
      <c r="Q14" s="3" t="s">
        <v>24</v>
      </c>
      <c r="R14" s="3" t="s">
        <v>25</v>
      </c>
      <c r="S14" s="7" t="s">
        <v>48</v>
      </c>
    </row>
    <row r="15" spans="1:19" x14ac:dyDescent="0.2">
      <c r="A15" s="3" t="s">
        <v>26</v>
      </c>
      <c r="D15" s="2"/>
      <c r="G15" s="2"/>
      <c r="M15" s="2"/>
      <c r="R15" s="14">
        <f>SUBTOTAL(103,Errores_Emision[EMAIL])</f>
        <v>7</v>
      </c>
      <c r="S15" s="8"/>
    </row>
  </sheetData>
  <conditionalFormatting sqref="A8:S14">
    <cfRule type="expression" dxfId="1" priority="1">
      <formula>$E8&gt;= TODAY()</formula>
    </cfRule>
    <cfRule type="expression" dxfId="0" priority="2" stopIfTrue="1">
      <formula>$E8&lt; TODAY()</formula>
    </cfRule>
  </conditionalFormatting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Error_Emision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Nubia Pulido</cp:lastModifiedBy>
  <dcterms:created xsi:type="dcterms:W3CDTF">2024-12-26T15:49:55Z</dcterms:created>
  <dcterms:modified xsi:type="dcterms:W3CDTF">2024-12-26T15:49:56Z</dcterms:modified>
</cp:coreProperties>
</file>