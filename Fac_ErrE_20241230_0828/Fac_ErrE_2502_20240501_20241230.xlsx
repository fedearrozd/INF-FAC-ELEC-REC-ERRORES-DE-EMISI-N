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89DC00A5-84FA-410E-A063-5F80671E0D45}" xr6:coauthVersionLast="47" xr6:coauthVersionMax="47" xr10:uidLastSave="{00000000-0000-0000-0000-000000000000}"/>
  <bookViews>
    <workbookView xWindow="1860" yWindow="1860" windowWidth="21600" windowHeight="11385" xr2:uid="{E9AE662B-BCBD-4DCD-9420-EE52A213DAC3}"/>
  </bookViews>
  <sheets>
    <sheet name="Error_Emision" sheetId="1" r:id="rId1"/>
  </sheets>
  <definedNames>
    <definedName name="_xlnm._FilterDatabase" localSheetId="0" hidden="1">Error_Emision!$A$7:$S$12</definedName>
    <definedName name="_xlnm.Database">Error_Emision!$A$7:$S$12</definedName>
  </definedNames>
  <calcPr calcId="191029"/>
</workbook>
</file>

<file path=xl/calcChain.xml><?xml version="1.0" encoding="utf-8"?>
<calcChain xmlns="http://schemas.openxmlformats.org/spreadsheetml/2006/main">
  <c r="R13" i="1" l="1"/>
</calcChain>
</file>

<file path=xl/sharedStrings.xml><?xml version="1.0" encoding="utf-8"?>
<sst xmlns="http://schemas.openxmlformats.org/spreadsheetml/2006/main" count="79" uniqueCount="43">
  <si>
    <t>AUD_UFAC</t>
  </si>
  <si>
    <t>CXC_NUME</t>
  </si>
  <si>
    <t>MES</t>
  </si>
  <si>
    <t>ERROR</t>
  </si>
  <si>
    <t>FASALDAÐA09</t>
  </si>
  <si>
    <t>NOTA CREDITO</t>
  </si>
  <si>
    <t>2502</t>
  </si>
  <si>
    <t>PTO SERV.PURIFICACIËN</t>
  </si>
  <si>
    <t>NOTACRE</t>
  </si>
  <si>
    <t>2024</t>
  </si>
  <si>
    <t>07</t>
  </si>
  <si>
    <t>1016010409</t>
  </si>
  <si>
    <t>DEIMER FABIAN MANJARREZ OBREGON .</t>
  </si>
  <si>
    <t>defamao645@hotmail.com</t>
  </si>
  <si>
    <t>FAPURIFICA04</t>
  </si>
  <si>
    <t>28891476</t>
  </si>
  <si>
    <t>ANA UMBELINA VARGAS DE ALVAREZ</t>
  </si>
  <si>
    <t>danivaro@hotmail.com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</si>
  <si>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</si>
  <si>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</si>
  <si>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</si>
  <si>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</si>
  <si>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</si>
  <si>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</si>
  <si>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</si>
  <si>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</si>
  <si>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</si>
  <si>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</si>
  <si>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</si>
  <si>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</si>
  <si>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</si>
  <si>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</si>
  <si>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</si>
  <si>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</si>
  <si>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[24P250210783].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</si>
  <si>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[24P250210784].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</si>
  <si>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[24P250210785].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</si>
  <si>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[24P250210786].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</si>
  <si>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[24P250210787]. Descripción: [Validación contiene errores en campos mandatorios.] - Errores: [Regla: CAE02, Rechazo: No fue informado el inicio del periodo de facturación que modifica esta nota crédito y/o el periodo informado es de un mes diferente superando los 30 días calendario.,Regla: CAE04, Rechazo: No fue informado el inicio del periodo de facturación que modifica esta nota crédito y/o el periodo informado es de un mes diferente superando los 30 días calendario.,Regla: CAD09e, Rechazo: La fecha de generación de la NC es diferente a la fecha de firma de la NC,Regla: ZB01, Rechazo: Error en el esquemeeeee - cvc-datatype-valid.1.2.1: '' is not a valid value for 'date'. - 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</si>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</sst>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8D572-4F0D-488D-99F3-3C5358855BC7}" name="Errores_Emision" displayName="Errores_Emision" ref="A7:S13" totalsRowCount="1" headerRowDxfId="3" dataDxfId="42" totalsRowDxfId="43" headerRowBorderDxfId="4">
  <autoFilter ref="A7:S12" xr:uid="{1A45FDEE-99EE-4484-9AB0-E3D0B782CBF9}"/>
  <tableColumns count="19">
    <tableColumn id="1" xr3:uid="{3EB45510-3D51-439C-B319-2A0A20E98656}" name="USUARIO" totalsRowLabel="Total" dataDxfId="36" totalsRowDxfId="37"/>
    <tableColumn id="2" xr3:uid="{2255106A-8EAD-44AC-A0B8-79AC13BE4BCD}" name="AUD_UFAC" dataDxfId="34" totalsRowDxfId="35"/>
    <tableColumn id="3" xr3:uid="{86330D6E-C970-4B94-BD64-0645F6D07AB1}" name="FECH_APLICA" dataDxfId="33" totalsRowDxfId="32"/>
    <tableColumn id="4" xr3:uid="{A54C5949-301D-418A-B801-D7913CF05423}" name="DOCUMENTO" dataDxfId="31" totalsRowDxfId="41"/>
    <tableColumn id="5" xr3:uid="{392FDEAB-8CA8-439C-AAA7-6B361336F71A}" name="FECH_DOCUMENTO" dataDxfId="29" totalsRowDxfId="30"/>
    <tableColumn id="6" xr3:uid="{76BC8EA2-094A-433A-8CB6-35ED1113E061}" name="FAC_VLR_TOTAL" dataDxfId="28" totalsRowDxfId="27"/>
    <tableColumn id="7" xr3:uid="{AF1F0946-5D1A-4BFA-95B1-92E83F53504E}" name="COD_TIPO_OPERAC" dataDxfId="26" totalsRowDxfId="40"/>
    <tableColumn id="8" xr3:uid="{E6DC2A16-2A3B-45B1-8822-5AF9996D7552}" name="TIPO_OPERAC" dataDxfId="24" totalsRowDxfId="25"/>
    <tableColumn id="9" xr3:uid="{E574F5FD-41FC-404C-B860-341B8A81D741}" name="COD_SUCUR" dataDxfId="22" totalsRowDxfId="23"/>
    <tableColumn id="10" xr3:uid="{51778DF5-7B2D-4CEE-AB87-E6A4E91BDDEA}" name="SUCURSAL" dataDxfId="20" totalsRowDxfId="21"/>
    <tableColumn id="11" xr3:uid="{3F70C717-3F89-4113-BBBC-AC7373F33124}" name="TIPO_DOCUMENTO" dataDxfId="18" totalsRowDxfId="19"/>
    <tableColumn id="12" xr3:uid="{5C164F1F-46F9-4D41-B21E-CCCC1C78217D}" name="FECH_FACTURA" dataDxfId="17" totalsRowDxfId="16"/>
    <tableColumn id="13" xr3:uid="{B474DF66-0CFB-466F-BB4D-D51F72179688}" name="CXC_NUME" dataDxfId="15" totalsRowDxfId="39"/>
    <tableColumn id="14" xr3:uid="{1EEE5266-61B7-43C4-8109-3F82151ABB2F}" name="AÑO" dataDxfId="13" totalsRowDxfId="14"/>
    <tableColumn id="15" xr3:uid="{25B259B0-40D1-4B6F-AAB2-251E12059680}" name="MES" dataDxfId="11" totalsRowDxfId="12"/>
    <tableColumn id="16" xr3:uid="{F46D56FB-DFE5-4201-957D-BD0CF88C8F12}" name="NIT" dataDxfId="9" totalsRowDxfId="10"/>
    <tableColumn id="17" xr3:uid="{EFBDFC33-CF9C-4F8B-A31A-C5CA00083238}" name="NOMBRE" dataDxfId="7" totalsRowDxfId="8"/>
    <tableColumn id="18" xr3:uid="{F699BFF4-DAD7-4BFC-9A21-9C2566072889}" name="EMAIL" totalsRowFunction="count" dataDxfId="5" totalsRowDxfId="2"/>
    <tableColumn id="19" xr3:uid="{3613AF50-7D35-4806-99BC-F3C66700C5BE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FDEE-99EE-4484-9AB0-E3D0B782CBF9}">
  <sheetPr>
    <tabColor rgb="FF92D050"/>
  </sheetPr>
  <dimension ref="A1:S13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3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8.1640625" style="3" bestFit="1" customWidth="1"/>
    <col min="18" max="18" width="22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39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40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41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42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19</v>
      </c>
      <c r="B7" s="10" t="s">
        <v>0</v>
      </c>
      <c r="C7" s="11" t="s">
        <v>20</v>
      </c>
      <c r="D7" s="12" t="s">
        <v>21</v>
      </c>
      <c r="E7" s="11" t="s">
        <v>22</v>
      </c>
      <c r="F7" s="13" t="s">
        <v>23</v>
      </c>
      <c r="G7" s="12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11" t="s">
        <v>29</v>
      </c>
      <c r="M7" s="12" t="s">
        <v>1</v>
      </c>
      <c r="N7" s="9" t="s">
        <v>30</v>
      </c>
      <c r="O7" s="9" t="s">
        <v>2</v>
      </c>
      <c r="P7" s="9" t="s">
        <v>31</v>
      </c>
      <c r="Q7" s="9" t="s">
        <v>32</v>
      </c>
      <c r="R7" s="9" t="s">
        <v>33</v>
      </c>
      <c r="S7" s="12" t="s">
        <v>3</v>
      </c>
    </row>
    <row r="8" spans="1:19" ht="78.75" x14ac:dyDescent="0.2">
      <c r="A8" s="3" t="s">
        <v>4</v>
      </c>
      <c r="B8" s="4">
        <v>45506</v>
      </c>
      <c r="C8" s="5">
        <v>45477</v>
      </c>
      <c r="D8" s="1">
        <v>10783</v>
      </c>
      <c r="E8" s="5">
        <v>45477</v>
      </c>
      <c r="F8" s="6">
        <v>69551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45477</v>
      </c>
      <c r="M8" s="1">
        <v>10783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34</v>
      </c>
    </row>
    <row r="9" spans="1:19" ht="78.75" x14ac:dyDescent="0.2">
      <c r="A9" s="3" t="s">
        <v>4</v>
      </c>
      <c r="B9" s="4">
        <v>45506</v>
      </c>
      <c r="C9" s="5">
        <v>45477</v>
      </c>
      <c r="D9" s="1">
        <v>10784</v>
      </c>
      <c r="E9" s="5">
        <v>45477</v>
      </c>
      <c r="F9" s="6">
        <v>10334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45477</v>
      </c>
      <c r="M9" s="1">
        <v>10784</v>
      </c>
      <c r="N9" s="3" t="s">
        <v>9</v>
      </c>
      <c r="O9" s="3" t="s">
        <v>10</v>
      </c>
      <c r="P9" s="3" t="s">
        <v>11</v>
      </c>
      <c r="Q9" s="3" t="s">
        <v>12</v>
      </c>
      <c r="R9" s="3" t="s">
        <v>13</v>
      </c>
      <c r="S9" s="7" t="s">
        <v>35</v>
      </c>
    </row>
    <row r="10" spans="1:19" ht="78.75" x14ac:dyDescent="0.2">
      <c r="A10" s="3" t="s">
        <v>4</v>
      </c>
      <c r="B10" s="4">
        <v>45506</v>
      </c>
      <c r="C10" s="5">
        <v>45477</v>
      </c>
      <c r="D10" s="1">
        <v>10785</v>
      </c>
      <c r="E10" s="5">
        <v>45477</v>
      </c>
      <c r="F10" s="6">
        <v>588310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45477</v>
      </c>
      <c r="M10" s="1">
        <v>10785</v>
      </c>
      <c r="N10" s="3" t="s">
        <v>9</v>
      </c>
      <c r="O10" s="3" t="s">
        <v>10</v>
      </c>
      <c r="P10" s="3" t="s">
        <v>11</v>
      </c>
      <c r="Q10" s="3" t="s">
        <v>12</v>
      </c>
      <c r="R10" s="3" t="s">
        <v>13</v>
      </c>
      <c r="S10" s="7" t="s">
        <v>36</v>
      </c>
    </row>
    <row r="11" spans="1:19" ht="78.75" x14ac:dyDescent="0.2">
      <c r="A11" s="3" t="s">
        <v>4</v>
      </c>
      <c r="B11" s="4">
        <v>45506</v>
      </c>
      <c r="C11" s="5">
        <v>45477</v>
      </c>
      <c r="D11" s="1">
        <v>10786</v>
      </c>
      <c r="E11" s="5">
        <v>45477</v>
      </c>
      <c r="F11" s="6">
        <v>53140</v>
      </c>
      <c r="G11" s="1">
        <v>3003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45477</v>
      </c>
      <c r="M11" s="1">
        <v>10786</v>
      </c>
      <c r="N11" s="3" t="s">
        <v>9</v>
      </c>
      <c r="O11" s="3" t="s">
        <v>10</v>
      </c>
      <c r="P11" s="3" t="s">
        <v>11</v>
      </c>
      <c r="Q11" s="3" t="s">
        <v>12</v>
      </c>
      <c r="R11" s="3" t="s">
        <v>13</v>
      </c>
      <c r="S11" s="7" t="s">
        <v>37</v>
      </c>
    </row>
    <row r="12" spans="1:19" ht="112.5" x14ac:dyDescent="0.2">
      <c r="A12" s="3" t="s">
        <v>14</v>
      </c>
      <c r="B12" s="4">
        <v>45506</v>
      </c>
      <c r="C12" s="5">
        <v>45478</v>
      </c>
      <c r="D12" s="1">
        <v>10787</v>
      </c>
      <c r="E12" s="5">
        <v>45478</v>
      </c>
      <c r="F12" s="6">
        <v>36470</v>
      </c>
      <c r="G12" s="1">
        <v>3003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45478</v>
      </c>
      <c r="M12" s="1">
        <v>10787</v>
      </c>
      <c r="N12" s="3" t="s">
        <v>9</v>
      </c>
      <c r="O12" s="3" t="s">
        <v>10</v>
      </c>
      <c r="P12" s="3" t="s">
        <v>15</v>
      </c>
      <c r="Q12" s="3" t="s">
        <v>16</v>
      </c>
      <c r="R12" s="3" t="s">
        <v>17</v>
      </c>
      <c r="S12" s="7" t="s">
        <v>38</v>
      </c>
    </row>
    <row r="13" spans="1:19" x14ac:dyDescent="0.2">
      <c r="A13" s="3" t="s">
        <v>18</v>
      </c>
      <c r="D13" s="2"/>
      <c r="G13" s="2"/>
      <c r="M13" s="2"/>
      <c r="R13" s="14">
        <f>SUBTOTAL(103,Errores_Emision[EMAIL])</f>
        <v>5</v>
      </c>
      <c r="S13" s="8"/>
    </row>
  </sheetData>
  <conditionalFormatting sqref="A8:S12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2024-12-30T13:31:03Z</dcterms:created>
  <dcterms:modified xsi:type="dcterms:W3CDTF">2024-12-30T13:31:05Z</dcterms:modified>
</cp:coreProperties>
</file>