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30_0828\"/>
    </mc:Choice>
  </mc:AlternateContent>
  <xr:revisionPtr revIDLastSave="0" documentId="13_ncr:9_{F5BB23A3-A824-4F5F-BCA8-E228C212F6D4}" xr6:coauthVersionLast="47" xr6:coauthVersionMax="47" xr10:uidLastSave="{00000000-0000-0000-0000-000000000000}"/>
  <bookViews>
    <workbookView xWindow="1860" yWindow="1860" windowWidth="21600" windowHeight="11385" xr2:uid="{06BAD5D2-19CC-447E-89BD-DF7FDE0CCB4F}"/>
  </bookViews>
  <sheets>
    <sheet name="Error_Emision" sheetId="1" r:id="rId1"/>
  </sheets>
  <definedNames>
    <definedName name="_xlnm._FilterDatabase" localSheetId="0" hidden="1">Error_Emision!$A$7:$S$10</definedName>
    <definedName name="_xlnm.Database">Error_Emision!$A$7:$S$10</definedName>
  </definedNames>
  <calcPr calcId="191029"/>
</workbook>
</file>

<file path=xl/calcChain.xml><?xml version="1.0" encoding="utf-8"?>
<calcChain xmlns="http://schemas.openxmlformats.org/spreadsheetml/2006/main">
  <c r="R11" i="1" l="1"/>
</calcChain>
</file>

<file path=xl/sharedStrings.xml><?xml version="1.0" encoding="utf-8"?>
<sst xmlns="http://schemas.openxmlformats.org/spreadsheetml/2006/main" count="57" uniqueCount="48">
  <si>
    <t>AUD_UFAC</t>
  </si>
  <si>
    <t>CXC_NUME</t>
  </si>
  <si>
    <t>MES</t>
  </si>
  <si>
    <t>ERROR</t>
  </si>
  <si>
    <t>FAVILLAVIC11</t>
  </si>
  <si>
    <t>FACTURA INVENTARIO CONTADO</t>
  </si>
  <si>
    <t>3103</t>
  </si>
  <si>
    <t>MI TIENDA DEL ARROZ  RESTREPO- PLAZA ROMA</t>
  </si>
  <si>
    <t>FACTURA</t>
  </si>
  <si>
    <t>2024</t>
  </si>
  <si>
    <t>08</t>
  </si>
  <si>
    <t>3277242</t>
  </si>
  <si>
    <t>ARIALDO RODRIGUEZ ROZO</t>
  </si>
  <si>
    <t>arialdorodriguezrozo@gmail.com</t>
  </si>
  <si>
    <t>FACOM024</t>
  </si>
  <si>
    <t>NC DEVOLUCION CLIENTE</t>
  </si>
  <si>
    <t>NOTACRE</t>
  </si>
  <si>
    <t>900059238</t>
  </si>
  <si>
    <t>MAKRO SUPERMAYORISTA S.A.S</t>
  </si>
  <si>
    <t>notificaciones@makro.com.co</t>
  </si>
  <si>
    <t>FAVILLAVIC15</t>
  </si>
  <si>
    <t>09</t>
  </si>
  <si>
    <t>1000472495</t>
  </si>
  <si>
    <t>CRISTIAN CAMILO MERIDA RODRIGUEZ</t>
  </si>
  <si>
    <t>criscammerrod@gmail.com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</si>
  <si>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</si>
  <si>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</si>
  <si>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</si>
  <si>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</si>
  <si>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</si>
  <si>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</si>
  <si>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</si>
  <si>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</si>
  <si>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</si>
  <si>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</si>
  <si>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</si>
  <si>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</si>
  <si>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</si>
  <si>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</si>
  <si>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</si>
  <si>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</si>
  <si>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[31032623].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</si>
  <si>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[24M310347]. Descripción: [Validación contiene errores en campos mandatorios.] - Errores: [Regla: CAD09e, Rechazo: La fecha de generación de la NC es diferente a la fecha de firma de la NC,Regla: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</si>
  <si>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[31032868].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</si>
  <si>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</si>
  <si>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</si>
  <si>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2024/12/30 ]</t>
  </si>
  <si>
    <t>Fecha y Hora de Generación:  [ 20241230_0828 ]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</si>
</sst>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84D3E-27FB-4236-AF2D-F504386234DF}" name="Errores_Emision" displayName="Errores_Emision" ref="A7:S11" totalsRowCount="1" headerRowDxfId="3" dataDxfId="42" totalsRowDxfId="43" headerRowBorderDxfId="4">
  <autoFilter ref="A7:S10" xr:uid="{C7659544-79CF-4BC0-99C8-F4E34D1BAEEC}"/>
  <tableColumns count="19">
    <tableColumn id="1" xr3:uid="{995587E4-47E6-44BD-A77D-DC7E03F93516}" name="USUARIO" totalsRowLabel="Total" dataDxfId="36" totalsRowDxfId="37"/>
    <tableColumn id="2" xr3:uid="{DF0DCE59-B0D0-438F-B478-0A007EC91578}" name="AUD_UFAC" dataDxfId="34" totalsRowDxfId="35"/>
    <tableColumn id="3" xr3:uid="{4F4A2A17-FD5C-4CF8-BB6D-B23E3F6E5970}" name="FECH_APLICA" dataDxfId="33" totalsRowDxfId="32"/>
    <tableColumn id="4" xr3:uid="{9ABF4A51-C26F-49E2-81A7-748DB7A8823B}" name="DOCUMENTO" dataDxfId="31" totalsRowDxfId="41"/>
    <tableColumn id="5" xr3:uid="{0A61D030-C24B-4EFD-8B5C-82CCF329D32A}" name="FECH_DOCUMENTO" dataDxfId="29" totalsRowDxfId="30"/>
    <tableColumn id="6" xr3:uid="{37ED9295-A8DA-491D-B11E-11B253B34EB8}" name="FAC_VLR_TOTAL" dataDxfId="28" totalsRowDxfId="27"/>
    <tableColumn id="7" xr3:uid="{6A63EBA8-879A-4519-8BB3-B4EBC4F11708}" name="COD_TIPO_OPERAC" dataDxfId="26" totalsRowDxfId="40"/>
    <tableColumn id="8" xr3:uid="{7D8072AA-605B-43C9-AE85-7086435940BD}" name="TIPO_OPERAC" dataDxfId="24" totalsRowDxfId="25"/>
    <tableColumn id="9" xr3:uid="{C829EECD-4B9F-4453-8875-314651554A8E}" name="COD_SUCUR" dataDxfId="22" totalsRowDxfId="23"/>
    <tableColumn id="10" xr3:uid="{FDF5B4AC-A756-4262-9BC5-C684482918BD}" name="SUCURSAL" dataDxfId="20" totalsRowDxfId="21"/>
    <tableColumn id="11" xr3:uid="{9DDA5DDA-2E67-4DB0-8B09-8DCA5F99C687}" name="TIPO_DOCUMENTO" dataDxfId="18" totalsRowDxfId="19"/>
    <tableColumn id="12" xr3:uid="{7C6C657C-F4D5-41DA-9EDD-320684FB9D2C}" name="FECH_FACTURA" dataDxfId="17" totalsRowDxfId="16"/>
    <tableColumn id="13" xr3:uid="{C6D9DEF3-9DA6-4B42-8D2A-2AE5354DB350}" name="CXC_NUME" dataDxfId="15" totalsRowDxfId="39"/>
    <tableColumn id="14" xr3:uid="{A936B3B1-4174-4A9A-8ED6-E9AF3453173E}" name="AÑO" dataDxfId="13" totalsRowDxfId="14"/>
    <tableColumn id="15" xr3:uid="{CB4733DD-4610-4537-B90E-554C2BF5C855}" name="MES" dataDxfId="11" totalsRowDxfId="12"/>
    <tableColumn id="16" xr3:uid="{5DEAAFEF-373C-4666-8D12-A17205247F56}" name="NIT" dataDxfId="9" totalsRowDxfId="10"/>
    <tableColumn id="17" xr3:uid="{A523AF94-B03F-4D8A-A9CB-05641515DBC5}" name="NOMBRE" dataDxfId="7" totalsRowDxfId="8"/>
    <tableColumn id="18" xr3:uid="{8E69848B-0085-4F6B-BDAC-A25FF80A559B}" name="EMAIL" totalsRowFunction="count" dataDxfId="5" totalsRowDxfId="2"/>
    <tableColumn id="19" xr3:uid="{2D580092-B112-4D84-BD0A-74F6B5001AFB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59544-79CF-4BC0-99C8-F4E34D1BAEEC}">
  <sheetPr>
    <tabColor rgb="FF92D050"/>
  </sheetPr>
  <dimension ref="A1:S11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46.66406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37.1640625" style="3" bestFit="1" customWidth="1"/>
    <col min="18" max="18" width="27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44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45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46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47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26</v>
      </c>
      <c r="B7" s="10" t="s">
        <v>0</v>
      </c>
      <c r="C7" s="11" t="s">
        <v>27</v>
      </c>
      <c r="D7" s="12" t="s">
        <v>28</v>
      </c>
      <c r="E7" s="11" t="s">
        <v>29</v>
      </c>
      <c r="F7" s="13" t="s">
        <v>30</v>
      </c>
      <c r="G7" s="12" t="s">
        <v>31</v>
      </c>
      <c r="H7" s="9" t="s">
        <v>32</v>
      </c>
      <c r="I7" s="9" t="s">
        <v>33</v>
      </c>
      <c r="J7" s="9" t="s">
        <v>34</v>
      </c>
      <c r="K7" s="9" t="s">
        <v>35</v>
      </c>
      <c r="L7" s="11" t="s">
        <v>36</v>
      </c>
      <c r="M7" s="12" t="s">
        <v>1</v>
      </c>
      <c r="N7" s="9" t="s">
        <v>37</v>
      </c>
      <c r="O7" s="9" t="s">
        <v>2</v>
      </c>
      <c r="P7" s="9" t="s">
        <v>38</v>
      </c>
      <c r="Q7" s="9" t="s">
        <v>39</v>
      </c>
      <c r="R7" s="9" t="s">
        <v>40</v>
      </c>
      <c r="S7" s="12" t="s">
        <v>3</v>
      </c>
    </row>
    <row r="8" spans="1:19" ht="56.25" x14ac:dyDescent="0.2">
      <c r="A8" s="3" t="s">
        <v>4</v>
      </c>
      <c r="B8" s="4">
        <v>45568</v>
      </c>
      <c r="C8" s="5">
        <v>45516</v>
      </c>
      <c r="D8" s="1">
        <v>2623</v>
      </c>
      <c r="E8" s="5">
        <v>45516</v>
      </c>
      <c r="F8" s="6">
        <v>41300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45516</v>
      </c>
      <c r="M8" s="1">
        <v>2623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41</v>
      </c>
    </row>
    <row r="9" spans="1:19" ht="56.25" x14ac:dyDescent="0.2">
      <c r="A9" s="3" t="s">
        <v>14</v>
      </c>
      <c r="B9" s="4">
        <v>45568</v>
      </c>
      <c r="C9" s="5">
        <v>45520</v>
      </c>
      <c r="D9" s="1">
        <v>47</v>
      </c>
      <c r="E9" s="5">
        <v>45520</v>
      </c>
      <c r="F9" s="6">
        <v>181400</v>
      </c>
      <c r="G9" s="1">
        <v>3512</v>
      </c>
      <c r="H9" s="3" t="s">
        <v>15</v>
      </c>
      <c r="I9" s="3" t="s">
        <v>6</v>
      </c>
      <c r="J9" s="3" t="s">
        <v>7</v>
      </c>
      <c r="K9" s="3" t="s">
        <v>16</v>
      </c>
      <c r="L9" s="5">
        <v>45520</v>
      </c>
      <c r="M9" s="1">
        <v>47</v>
      </c>
      <c r="N9" s="3" t="s">
        <v>9</v>
      </c>
      <c r="O9" s="3" t="s">
        <v>10</v>
      </c>
      <c r="P9" s="3" t="s">
        <v>17</v>
      </c>
      <c r="Q9" s="3" t="s">
        <v>18</v>
      </c>
      <c r="R9" s="3" t="s">
        <v>19</v>
      </c>
      <c r="S9" s="7" t="s">
        <v>42</v>
      </c>
    </row>
    <row r="10" spans="1:19" ht="56.25" x14ac:dyDescent="0.2">
      <c r="A10" s="3" t="s">
        <v>20</v>
      </c>
      <c r="B10" s="4">
        <v>45568</v>
      </c>
      <c r="C10" s="5">
        <v>45552</v>
      </c>
      <c r="D10" s="1">
        <v>2868</v>
      </c>
      <c r="E10" s="5">
        <v>45552</v>
      </c>
      <c r="F10" s="6">
        <v>7500</v>
      </c>
      <c r="G10" s="1">
        <v>3550</v>
      </c>
      <c r="H10" s="3" t="s">
        <v>5</v>
      </c>
      <c r="I10" s="3" t="s">
        <v>6</v>
      </c>
      <c r="J10" s="3" t="s">
        <v>7</v>
      </c>
      <c r="K10" s="3" t="s">
        <v>8</v>
      </c>
      <c r="L10" s="5">
        <v>45552</v>
      </c>
      <c r="M10" s="1">
        <v>2868</v>
      </c>
      <c r="N10" s="3" t="s">
        <v>9</v>
      </c>
      <c r="O10" s="3" t="s">
        <v>21</v>
      </c>
      <c r="P10" s="3" t="s">
        <v>22</v>
      </c>
      <c r="Q10" s="3" t="s">
        <v>23</v>
      </c>
      <c r="R10" s="3" t="s">
        <v>24</v>
      </c>
      <c r="S10" s="7" t="s">
        <v>43</v>
      </c>
    </row>
    <row r="11" spans="1:19" x14ac:dyDescent="0.2">
      <c r="A11" s="3" t="s">
        <v>25</v>
      </c>
      <c r="D11" s="2"/>
      <c r="G11" s="2"/>
      <c r="M11" s="2"/>
      <c r="R11" s="14">
        <f>SUBTOTAL(103,Errores_Emision[EMAIL])</f>
        <v>3</v>
      </c>
      <c r="S11" s="8"/>
    </row>
  </sheetData>
  <conditionalFormatting sqref="A8:S10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2024-12-30T13:31:57Z</dcterms:created>
  <dcterms:modified xsi:type="dcterms:W3CDTF">2024-12-30T13:31:58Z</dcterms:modified>
</cp:coreProperties>
</file>