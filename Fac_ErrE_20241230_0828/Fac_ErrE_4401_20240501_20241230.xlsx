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30_0828\"/>
    </mc:Choice>
  </mc:AlternateContent>
  <xr:revisionPtr revIDLastSave="0" documentId="13_ncr:9_{FC9D1ED2-64F6-48DD-AEB8-19FC16B95084}" xr6:coauthVersionLast="47" xr6:coauthVersionMax="47" xr10:uidLastSave="{00000000-0000-0000-0000-000000000000}"/>
  <bookViews>
    <workbookView xWindow="1860" yWindow="1860" windowWidth="21600" windowHeight="11385" xr2:uid="{8639A0BC-FD1D-4647-B930-0186A1ECA59C}"/>
  </bookViews>
  <sheets>
    <sheet name="Error_Emision" sheetId="1" r:id="rId1"/>
  </sheets>
  <definedNames>
    <definedName name="_xlnm._FilterDatabase" localSheetId="0" hidden="1">Error_Emision!$A$7:$S$12</definedName>
    <definedName name="_xlnm.Database">Error_Emision!$A$7:$S$12</definedName>
  </definedNames>
  <calcPr calcId="191029"/>
</workbook>
</file>

<file path=xl/calcChain.xml><?xml version="1.0" encoding="utf-8"?>
<calcChain xmlns="http://schemas.openxmlformats.org/spreadsheetml/2006/main">
  <c r="R13" i="1" l="1"/>
</calcChain>
</file>

<file path=xl/sharedStrings.xml><?xml version="1.0" encoding="utf-8"?>
<sst xmlns="http://schemas.openxmlformats.org/spreadsheetml/2006/main" count="79" uniqueCount="48">
  <si>
    <t>AUD_UFAC</t>
  </si>
  <si>
    <t>CXC_NUME</t>
  </si>
  <si>
    <t>MES</t>
  </si>
  <si>
    <t>ERROR</t>
  </si>
  <si>
    <t>FACAR002</t>
  </si>
  <si>
    <t>NOTA CREDITO</t>
  </si>
  <si>
    <t>4401</t>
  </si>
  <si>
    <t>AGUACHICA</t>
  </si>
  <si>
    <t>NOTACRE</t>
  </si>
  <si>
    <t>2024</t>
  </si>
  <si>
    <t>05</t>
  </si>
  <si>
    <t>1095794821</t>
  </si>
  <si>
    <t>INGRIS YOHANA HERNANDEZ MARTINEZ</t>
  </si>
  <si>
    <t>ingris87@gmail.com</t>
  </si>
  <si>
    <t>FACON023</t>
  </si>
  <si>
    <t>9691713</t>
  </si>
  <si>
    <t>ARMANDO DURAN OLAYA .</t>
  </si>
  <si>
    <t>armandoduranolaya7@gmail.com</t>
  </si>
  <si>
    <t>06</t>
  </si>
  <si>
    <t>18916723</t>
  </si>
  <si>
    <t>LUIS ANTONIO SEDANO SANCHEZ</t>
  </si>
  <si>
    <t>18916723@recepciondefacturas.co</t>
  </si>
  <si>
    <t>FAAGUACHICA02</t>
  </si>
  <si>
    <t>07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</si>
  <si>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</si>
  <si>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</si>
  <si>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</si>
  <si>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</si>
  <si>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</si>
  <si>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</si>
  <si>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</si>
  <si>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</si>
  <si>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</si>
  <si>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</si>
  <si>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</si>
  <si>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</si>
  <si>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</si>
  <si>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</si>
  <si>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</si>
  <si>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</si>
  <si>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[24A440112084].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</si>
  <si>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[24A440112085].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ZB01, Rechazo: Error en el esquemeeeee - cvc-datatype-valid.1.2.1: '' is not a valid value for 'date'. - 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</si>
  <si>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[24A440112091].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</si>
  <si>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Reintente nuevamente. El documento aun se encuentra en estado validación (VALIDATING). -</t>
  </si>
  <si>
    <t>FEDEARROZ</t>
  </si>
  <si>
    <t>Facturación Electrónica Errores Emisión</t>
  </si>
  <si>
    <t>Corte:  [ Desde 2024/05/01- Hasta 2024/12/30 ]</t>
  </si>
  <si>
    <t>Fecha y Hora de Generación:  [ 20241230_0828 ]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</si>
</sst>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3CA25C-A26D-4FA2-966F-FBA4483B0A8A}" name="Errores_Emision" displayName="Errores_Emision" ref="A7:S13" totalsRowCount="1" headerRowDxfId="3" dataDxfId="42" totalsRowDxfId="43" headerRowBorderDxfId="4">
  <autoFilter ref="A7:S12" xr:uid="{2E29FCAC-69F8-4BB4-82A1-2B8D1FF6A6CD}"/>
  <tableColumns count="19">
    <tableColumn id="1" xr3:uid="{13240113-0C66-4C56-AC11-9EBCE4A63DEB}" name="USUARIO" totalsRowLabel="Total" dataDxfId="36" totalsRowDxfId="37"/>
    <tableColumn id="2" xr3:uid="{4A91D520-5094-470F-9019-DF6ABFF9CBA8}" name="AUD_UFAC" dataDxfId="34" totalsRowDxfId="35"/>
    <tableColumn id="3" xr3:uid="{29030666-4B3C-4132-BC44-23C9997D226A}" name="FECH_APLICA" dataDxfId="33" totalsRowDxfId="32"/>
    <tableColumn id="4" xr3:uid="{4F115C30-DBC3-47CD-B90E-0263FC3DA00A}" name="DOCUMENTO" dataDxfId="31" totalsRowDxfId="41"/>
    <tableColumn id="5" xr3:uid="{C22EBF36-AB1F-41ED-8F30-045164D1930B}" name="FECH_DOCUMENTO" dataDxfId="29" totalsRowDxfId="30"/>
    <tableColumn id="6" xr3:uid="{907BFA77-0A4E-4C77-9B56-40968D5DA832}" name="FAC_VLR_TOTAL" dataDxfId="28" totalsRowDxfId="27"/>
    <tableColumn id="7" xr3:uid="{DBD0D5BC-9BC3-48FE-8D3E-317C44A9E8A8}" name="COD_TIPO_OPERAC" dataDxfId="26" totalsRowDxfId="40"/>
    <tableColumn id="8" xr3:uid="{CF0EAAED-27EB-4063-892F-AD0A3AEA5F93}" name="TIPO_OPERAC" dataDxfId="24" totalsRowDxfId="25"/>
    <tableColumn id="9" xr3:uid="{9D5339DD-CC19-46BB-81D6-4E189CC389CD}" name="COD_SUCUR" dataDxfId="22" totalsRowDxfId="23"/>
    <tableColumn id="10" xr3:uid="{3F131821-F959-4B55-89E5-B8AAC23D998F}" name="SUCURSAL" dataDxfId="20" totalsRowDxfId="21"/>
    <tableColumn id="11" xr3:uid="{C92C7E78-3CEA-42CD-A87D-5A749E009AE2}" name="TIPO_DOCUMENTO" dataDxfId="18" totalsRowDxfId="19"/>
    <tableColumn id="12" xr3:uid="{C55E6F13-9F16-4B71-AEC3-FC941B194F2C}" name="FECH_FACTURA" dataDxfId="17" totalsRowDxfId="16"/>
    <tableColumn id="13" xr3:uid="{8ACC847D-306C-48FC-9997-F34AF806AA77}" name="CXC_NUME" dataDxfId="15" totalsRowDxfId="39"/>
    <tableColumn id="14" xr3:uid="{2623EC3E-B7A8-47BB-B73F-22FFD866DC99}" name="AÑO" dataDxfId="13" totalsRowDxfId="14"/>
    <tableColumn id="15" xr3:uid="{E3030B68-BFC2-46E6-A8E7-2ED25134CBCC}" name="MES" dataDxfId="11" totalsRowDxfId="12"/>
    <tableColumn id="16" xr3:uid="{B7C86533-DF11-4868-A05E-F222FF2EE8EA}" name="NIT" dataDxfId="9" totalsRowDxfId="10"/>
    <tableColumn id="17" xr3:uid="{756618FD-E4FF-4471-AB45-D0D8E49A860B}" name="NOMBRE" dataDxfId="7" totalsRowDxfId="8"/>
    <tableColumn id="18" xr3:uid="{CBFE01B0-1EAE-4876-A316-B1D0338FBDA1}" name="EMAIL" totalsRowFunction="count" dataDxfId="5" totalsRowDxfId="2"/>
    <tableColumn id="19" xr3:uid="{8764BCFB-90C0-4B9E-9B85-CDFEEBEFDA0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FCAC-69F8-4BB4-82A1-2B8D1FF6A6CD}">
  <sheetPr>
    <tabColor rgb="FF92D050"/>
  </sheetPr>
  <dimension ref="A1:S13"/>
  <sheetViews>
    <sheetView showGridLines="0" tabSelected="1" workbookViewId="0"/>
  </sheetViews>
  <sheetFormatPr baseColWidth="10" defaultRowHeight="11.25" x14ac:dyDescent="0.2"/>
  <cols>
    <col min="1" max="1" width="16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8.5" style="3" bestFit="1" customWidth="1"/>
    <col min="18" max="18" width="28.8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44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45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46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47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25</v>
      </c>
      <c r="B7" s="10" t="s">
        <v>0</v>
      </c>
      <c r="C7" s="11" t="s">
        <v>26</v>
      </c>
      <c r="D7" s="12" t="s">
        <v>27</v>
      </c>
      <c r="E7" s="11" t="s">
        <v>28</v>
      </c>
      <c r="F7" s="13" t="s">
        <v>29</v>
      </c>
      <c r="G7" s="12" t="s">
        <v>30</v>
      </c>
      <c r="H7" s="9" t="s">
        <v>31</v>
      </c>
      <c r="I7" s="9" t="s">
        <v>32</v>
      </c>
      <c r="J7" s="9" t="s">
        <v>33</v>
      </c>
      <c r="K7" s="9" t="s">
        <v>34</v>
      </c>
      <c r="L7" s="11" t="s">
        <v>35</v>
      </c>
      <c r="M7" s="12" t="s">
        <v>1</v>
      </c>
      <c r="N7" s="9" t="s">
        <v>36</v>
      </c>
      <c r="O7" s="9" t="s">
        <v>2</v>
      </c>
      <c r="P7" s="9" t="s">
        <v>37</v>
      </c>
      <c r="Q7" s="9" t="s">
        <v>38</v>
      </c>
      <c r="R7" s="9" t="s">
        <v>39</v>
      </c>
      <c r="S7" s="12" t="s">
        <v>3</v>
      </c>
    </row>
    <row r="8" spans="1:19" ht="78.75" x14ac:dyDescent="0.2">
      <c r="A8" s="3" t="s">
        <v>4</v>
      </c>
      <c r="B8" s="4">
        <v>45414</v>
      </c>
      <c r="C8" s="5">
        <v>45414</v>
      </c>
      <c r="D8" s="1">
        <v>12084</v>
      </c>
      <c r="E8" s="5">
        <v>45414</v>
      </c>
      <c r="F8" s="6">
        <v>85841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12084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40</v>
      </c>
    </row>
    <row r="9" spans="1:19" ht="78.75" x14ac:dyDescent="0.2">
      <c r="A9" s="3" t="s">
        <v>14</v>
      </c>
      <c r="B9" s="4">
        <v>45419</v>
      </c>
      <c r="C9" s="5">
        <v>45441</v>
      </c>
      <c r="D9" s="1">
        <v>12085</v>
      </c>
      <c r="E9" s="5">
        <v>45441</v>
      </c>
      <c r="F9" s="6">
        <v>2713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45441</v>
      </c>
      <c r="M9" s="1">
        <v>12085</v>
      </c>
      <c r="N9" s="3" t="s">
        <v>9</v>
      </c>
      <c r="O9" s="3" t="s">
        <v>10</v>
      </c>
      <c r="P9" s="3" t="s">
        <v>15</v>
      </c>
      <c r="Q9" s="3" t="s">
        <v>16</v>
      </c>
      <c r="R9" s="3" t="s">
        <v>17</v>
      </c>
      <c r="S9" s="7" t="s">
        <v>41</v>
      </c>
    </row>
    <row r="10" spans="1:19" ht="67.5" x14ac:dyDescent="0.2">
      <c r="A10" s="3" t="s">
        <v>4</v>
      </c>
      <c r="B10" s="4">
        <v>45506</v>
      </c>
      <c r="C10" s="5">
        <v>45463</v>
      </c>
      <c r="D10" s="1">
        <v>12091</v>
      </c>
      <c r="E10" s="5">
        <v>45463</v>
      </c>
      <c r="F10" s="6">
        <v>103056</v>
      </c>
      <c r="G10" s="1">
        <v>3003</v>
      </c>
      <c r="H10" s="3" t="s">
        <v>5</v>
      </c>
      <c r="I10" s="3" t="s">
        <v>6</v>
      </c>
      <c r="J10" s="3" t="s">
        <v>7</v>
      </c>
      <c r="K10" s="3" t="s">
        <v>8</v>
      </c>
      <c r="L10" s="5">
        <v>45463</v>
      </c>
      <c r="M10" s="1">
        <v>12091</v>
      </c>
      <c r="N10" s="3" t="s">
        <v>9</v>
      </c>
      <c r="O10" s="3" t="s">
        <v>18</v>
      </c>
      <c r="P10" s="3" t="s">
        <v>19</v>
      </c>
      <c r="Q10" s="3" t="s">
        <v>20</v>
      </c>
      <c r="R10" s="3" t="s">
        <v>21</v>
      </c>
      <c r="S10" s="7" t="s">
        <v>42</v>
      </c>
    </row>
    <row r="11" spans="1:19" ht="22.5" x14ac:dyDescent="0.2">
      <c r="A11" s="3" t="s">
        <v>22</v>
      </c>
      <c r="B11" s="4">
        <v>45499</v>
      </c>
      <c r="C11" s="5">
        <v>45499</v>
      </c>
      <c r="D11" s="1">
        <v>12099</v>
      </c>
      <c r="E11" s="5">
        <v>45499</v>
      </c>
      <c r="F11" s="6">
        <v>97691</v>
      </c>
      <c r="G11" s="1">
        <v>3003</v>
      </c>
      <c r="H11" s="3" t="s">
        <v>5</v>
      </c>
      <c r="I11" s="3" t="s">
        <v>6</v>
      </c>
      <c r="J11" s="3" t="s">
        <v>7</v>
      </c>
      <c r="K11" s="3" t="s">
        <v>8</v>
      </c>
      <c r="L11" s="5">
        <v>45499</v>
      </c>
      <c r="M11" s="1">
        <v>12099</v>
      </c>
      <c r="N11" s="3" t="s">
        <v>9</v>
      </c>
      <c r="O11" s="3" t="s">
        <v>23</v>
      </c>
      <c r="P11" s="3" t="s">
        <v>19</v>
      </c>
      <c r="Q11" s="3" t="s">
        <v>20</v>
      </c>
      <c r="R11" s="3" t="s">
        <v>21</v>
      </c>
      <c r="S11" s="7" t="s">
        <v>43</v>
      </c>
    </row>
    <row r="12" spans="1:19" ht="22.5" x14ac:dyDescent="0.2">
      <c r="A12" s="3" t="s">
        <v>22</v>
      </c>
      <c r="B12" s="4">
        <v>45499</v>
      </c>
      <c r="C12" s="5">
        <v>45499</v>
      </c>
      <c r="D12" s="1">
        <v>12100</v>
      </c>
      <c r="E12" s="5">
        <v>45499</v>
      </c>
      <c r="F12" s="6">
        <v>68573</v>
      </c>
      <c r="G12" s="1">
        <v>3003</v>
      </c>
      <c r="H12" s="3" t="s">
        <v>5</v>
      </c>
      <c r="I12" s="3" t="s">
        <v>6</v>
      </c>
      <c r="J12" s="3" t="s">
        <v>7</v>
      </c>
      <c r="K12" s="3" t="s">
        <v>8</v>
      </c>
      <c r="L12" s="5">
        <v>45499</v>
      </c>
      <c r="M12" s="1">
        <v>12100</v>
      </c>
      <c r="N12" s="3" t="s">
        <v>9</v>
      </c>
      <c r="O12" s="3" t="s">
        <v>23</v>
      </c>
      <c r="P12" s="3" t="s">
        <v>19</v>
      </c>
      <c r="Q12" s="3" t="s">
        <v>20</v>
      </c>
      <c r="R12" s="3" t="s">
        <v>21</v>
      </c>
      <c r="S12" s="7" t="s">
        <v>43</v>
      </c>
    </row>
    <row r="13" spans="1:19" x14ac:dyDescent="0.2">
      <c r="A13" s="3" t="s">
        <v>24</v>
      </c>
      <c r="D13" s="2"/>
      <c r="G13" s="2"/>
      <c r="M13" s="2"/>
      <c r="R13" s="14">
        <f>SUBTOTAL(103,Errores_Emision[EMAIL])</f>
        <v>5</v>
      </c>
      <c r="S13" s="8"/>
    </row>
  </sheetData>
  <conditionalFormatting sqref="A8:S12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2024-12-30T13:34:16Z</dcterms:created>
  <dcterms:modified xsi:type="dcterms:W3CDTF">2024-12-30T13:34:17Z</dcterms:modified>
</cp:coreProperties>
</file>