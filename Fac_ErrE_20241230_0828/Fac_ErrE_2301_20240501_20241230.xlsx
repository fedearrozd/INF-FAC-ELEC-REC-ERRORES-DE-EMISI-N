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93AA2B8D-E74A-485E-BF76-5DFF38A4E8FB}" xr6:coauthVersionLast="47" xr6:coauthVersionMax="47" xr10:uidLastSave="{00000000-0000-0000-0000-000000000000}"/>
  <bookViews>
    <workbookView xWindow="1860" yWindow="1860" windowWidth="21600" windowHeight="11385" xr2:uid="{EA20B25C-0488-4DD1-808D-1A1E12F956BE}"/>
  </bookViews>
  <sheets>
    <sheet name="Error_Emision" sheetId="1" r:id="rId1"/>
  </sheets>
  <definedNames>
    <definedName name="_xlnm._FilterDatabase" localSheetId="0" hidden="1">Error_Emision!$A$7:$S$21</definedName>
    <definedName name="_xlnm.Database">Error_Emision!$A$7:$S$21</definedName>
  </definedNames>
  <calcPr calcId="191029"/>
</workbook>
</file>

<file path=xl/calcChain.xml><?xml version="1.0" encoding="utf-8"?>
<calcChain xmlns="http://schemas.openxmlformats.org/spreadsheetml/2006/main">
  <c r="R22" i="1" l="1"/>
</calcChain>
</file>

<file path=xl/sharedStrings.xml><?xml version="1.0" encoding="utf-8"?>
<sst xmlns="http://schemas.openxmlformats.org/spreadsheetml/2006/main" count="178" uniqueCount="81">
  <si>
    <t>AUD_UFAC</t>
  </si>
  <si>
    <t>CXC_NUME</t>
  </si>
  <si>
    <t>MES</t>
  </si>
  <si>
    <t>ERROR</t>
  </si>
  <si>
    <t>facon023</t>
  </si>
  <si>
    <t>NOTA CREDITO</t>
  </si>
  <si>
    <t>2301</t>
  </si>
  <si>
    <t>ESPINAL</t>
  </si>
  <si>
    <t>NOTACRE</t>
  </si>
  <si>
    <t>2024</t>
  </si>
  <si>
    <t>05</t>
  </si>
  <si>
    <t>900476528</t>
  </si>
  <si>
    <t>GRUPO EMPRESARIAL LBO S.A.S.</t>
  </si>
  <si>
    <t>gelbosas@hotmail.com</t>
  </si>
  <si>
    <t>5920812</t>
  </si>
  <si>
    <t>GUSTAVO BRIÐEZ VASQUEZ .</t>
  </si>
  <si>
    <t>tatianabrinez@gmail.com</t>
  </si>
  <si>
    <t>FAESPINAL08</t>
  </si>
  <si>
    <t>FACTURA  ADMINISTRATIVA</t>
  </si>
  <si>
    <t>FACTURA</t>
  </si>
  <si>
    <t>891903460</t>
  </si>
  <si>
    <t>SALGUERO GONZALEZ S.A.S. .</t>
  </si>
  <si>
    <t>montoyaroble@gmail.com</t>
  </si>
  <si>
    <t>FACOM024</t>
  </si>
  <si>
    <t>NC DEVOLUCION CLIENTE</t>
  </si>
  <si>
    <t>93124233</t>
  </si>
  <si>
    <t>NESTOR HERNANDO ORTEGON HERRAN</t>
  </si>
  <si>
    <t>nestortegon69@gmail.com</t>
  </si>
  <si>
    <t>06</t>
  </si>
  <si>
    <t>901416432</t>
  </si>
  <si>
    <t>AGROPECUARIA SAVANA SAS</t>
  </si>
  <si>
    <t>contabilidadagropecuariasavana@gmail.com</t>
  </si>
  <si>
    <t>07</t>
  </si>
  <si>
    <t>93129563</t>
  </si>
  <si>
    <t>WILINTON ORTEGON BETANCOURT</t>
  </si>
  <si>
    <t>cafe.decolombia@hotmail.com</t>
  </si>
  <si>
    <t>800153557</t>
  </si>
  <si>
    <t>DELAGRO S.A.S .</t>
  </si>
  <si>
    <t>800153557@factureinbox.co</t>
  </si>
  <si>
    <t>65705009</t>
  </si>
  <si>
    <t>NAIRA ISABEL BARRERO CARDOSO</t>
  </si>
  <si>
    <t>naisbaca03@gmail.com</t>
  </si>
  <si>
    <t>FACTURA INVENTARIO CONTADO</t>
  </si>
  <si>
    <t>12</t>
  </si>
  <si>
    <t>1069924869</t>
  </si>
  <si>
    <t>MARIO ALBERTO CONDE PIRAZAN</t>
  </si>
  <si>
    <t>marianoeliaalmanomarin@gmail.com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</si>
  <si>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</si>
  <si>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</si>
  <si>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</si>
  <si>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</si>
  <si>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</si>
  <si>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</si>
  <si>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</si>
  <si>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</si>
  <si>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</si>
  <si>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</si>
  <si>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</si>
  <si>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</si>
  <si>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</si>
  <si>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</si>
  <si>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</si>
  <si>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</si>
  <si>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[24E230115253].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</si>
  <si>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[24E230115254]. Descripción: [Validación contiene errores en campos mandatorios.] - Errores: [Regla: CAE04, Rechazo: No fue informado el fin del periodo de facturación que modifica esta nota crédito,Regla: CAE02, Rechazo: No fue informado el inicio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</si>
  <si>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[230184656].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</si>
  <si>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[24E230115277].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</si>
  <si>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[24E230115320].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</si>
  <si>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[24E230115355].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</si>
  <si>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[24E230115340].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</si>
  <si>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[24E230115341].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</si>
  <si>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[24E230115370].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</si>
  <si>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[24E230115371].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</si>
  <si>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[24E230115372].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</si>
  <si>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[24E230115373].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</si>
  <si>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[24E230115378]. Descripción: [Validación contiene errores en campos mandatorios.] - Errores: [Regla: ZB01, Rechazo: Error en el esquemeeeee - cvc-datatype-valid.1.2.1: '' is not a valid value for 'date'. - 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</si>
  <si>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En la homologación no se encontró(aron) el(los) valor(es) '0' para el sistema 4 y el subsistema 2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</si>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</sst>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C5F7E-D3E9-433F-9A74-89DF34539FF1}" name="Errores_Emision" displayName="Errores_Emision" ref="A7:S22" totalsRowCount="1" headerRowDxfId="3" dataDxfId="42" totalsRowDxfId="43" headerRowBorderDxfId="4">
  <autoFilter ref="A7:S21" xr:uid="{AEDDD769-0B7E-4815-9992-416EA2AC6F98}"/>
  <tableColumns count="19">
    <tableColumn id="1" xr3:uid="{C08802D2-F29A-436D-A7AF-4FFC80A278B9}" name="USUARIO" totalsRowLabel="Total" dataDxfId="36" totalsRowDxfId="37"/>
    <tableColumn id="2" xr3:uid="{35967D0A-2D32-440D-B826-F885CD524103}" name="AUD_UFAC" dataDxfId="34" totalsRowDxfId="35"/>
    <tableColumn id="3" xr3:uid="{AB38AFCF-5B15-47BA-BCFF-31D744542399}" name="FECH_APLICA" dataDxfId="33" totalsRowDxfId="32"/>
    <tableColumn id="4" xr3:uid="{0CDA1AE1-FAE3-4195-89BB-C34B1312A4B1}" name="DOCUMENTO" dataDxfId="31" totalsRowDxfId="41"/>
    <tableColumn id="5" xr3:uid="{390C017E-4904-4BB7-9FAE-1B31AC56D16D}" name="FECH_DOCUMENTO" dataDxfId="29" totalsRowDxfId="30"/>
    <tableColumn id="6" xr3:uid="{0D8422CC-09F0-43F2-8EAA-E9BFB26A5BF5}" name="FAC_VLR_TOTAL" dataDxfId="28" totalsRowDxfId="27"/>
    <tableColumn id="7" xr3:uid="{9465D9CB-E6A9-45AD-94A8-EB71896A65C5}" name="COD_TIPO_OPERAC" dataDxfId="26" totalsRowDxfId="40"/>
    <tableColumn id="8" xr3:uid="{C39DB08B-B6E0-4E20-BFA3-A195AE99AFC3}" name="TIPO_OPERAC" dataDxfId="24" totalsRowDxfId="25"/>
    <tableColumn id="9" xr3:uid="{4ECAE59D-9646-4CC1-8016-4A35A5F18A6E}" name="COD_SUCUR" dataDxfId="22" totalsRowDxfId="23"/>
    <tableColumn id="10" xr3:uid="{37610BAA-1113-49E6-9D16-CB013412FF87}" name="SUCURSAL" dataDxfId="20" totalsRowDxfId="21"/>
    <tableColumn id="11" xr3:uid="{E8320A1F-6726-420F-A0A9-EDA703B5A4AC}" name="TIPO_DOCUMENTO" dataDxfId="18" totalsRowDxfId="19"/>
    <tableColumn id="12" xr3:uid="{6450859D-8BD1-417A-B3D1-5CB883B561DF}" name="FECH_FACTURA" dataDxfId="17" totalsRowDxfId="16"/>
    <tableColumn id="13" xr3:uid="{E13FDD7E-700B-4DF5-810C-DDAF714BE3D2}" name="CXC_NUME" dataDxfId="15" totalsRowDxfId="39"/>
    <tableColumn id="14" xr3:uid="{9D1AC81A-B3C7-4155-8F19-DA7D48AA6093}" name="AÑO" dataDxfId="13" totalsRowDxfId="14"/>
    <tableColumn id="15" xr3:uid="{427B0454-F66C-4209-A5DA-49B159DC3DBA}" name="MES" dataDxfId="11" totalsRowDxfId="12"/>
    <tableColumn id="16" xr3:uid="{0B1537C3-E32B-4A93-B36F-A86576CBCC54}" name="NIT" dataDxfId="9" totalsRowDxfId="10"/>
    <tableColumn id="17" xr3:uid="{C5CA85E7-A151-4092-B53B-8476376049A4}" name="NOMBRE" dataDxfId="7" totalsRowDxfId="8"/>
    <tableColumn id="18" xr3:uid="{4BB9DE3B-6F6F-465A-9E26-0DBEEDF94C83}" name="EMAIL" totalsRowFunction="count" dataDxfId="5" totalsRowDxfId="2"/>
    <tableColumn id="19" xr3:uid="{07CD87C6-1D85-4C02-B6C5-898AC2D1932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D769-0B7E-4815-9992-416EA2AC6F98}">
  <sheetPr>
    <tabColor rgb="FF92D050"/>
  </sheetPr>
  <dimension ref="A1:S2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33203125" style="3" bestFit="1" customWidth="1"/>
    <col min="18" max="18" width="35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77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78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79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80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48</v>
      </c>
      <c r="B7" s="10" t="s">
        <v>0</v>
      </c>
      <c r="C7" s="11" t="s">
        <v>49</v>
      </c>
      <c r="D7" s="12" t="s">
        <v>50</v>
      </c>
      <c r="E7" s="11" t="s">
        <v>51</v>
      </c>
      <c r="F7" s="13" t="s">
        <v>52</v>
      </c>
      <c r="G7" s="12" t="s">
        <v>53</v>
      </c>
      <c r="H7" s="9" t="s">
        <v>54</v>
      </c>
      <c r="I7" s="9" t="s">
        <v>55</v>
      </c>
      <c r="J7" s="9" t="s">
        <v>56</v>
      </c>
      <c r="K7" s="9" t="s">
        <v>57</v>
      </c>
      <c r="L7" s="11" t="s">
        <v>58</v>
      </c>
      <c r="M7" s="12" t="s">
        <v>1</v>
      </c>
      <c r="N7" s="9" t="s">
        <v>59</v>
      </c>
      <c r="O7" s="9" t="s">
        <v>2</v>
      </c>
      <c r="P7" s="9" t="s">
        <v>60</v>
      </c>
      <c r="Q7" s="9" t="s">
        <v>61</v>
      </c>
      <c r="R7" s="9" t="s">
        <v>62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15253</v>
      </c>
      <c r="E8" s="5">
        <v>45414</v>
      </c>
      <c r="F8" s="6">
        <v>81753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15253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63</v>
      </c>
    </row>
    <row r="9" spans="1:19" ht="67.5" x14ac:dyDescent="0.2">
      <c r="A9" s="3" t="s">
        <v>4</v>
      </c>
      <c r="B9" s="4">
        <v>45414</v>
      </c>
      <c r="C9" s="5">
        <v>45441</v>
      </c>
      <c r="D9" s="1">
        <v>15254</v>
      </c>
      <c r="E9" s="5">
        <v>45414</v>
      </c>
      <c r="F9" s="6">
        <v>70411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45414</v>
      </c>
      <c r="M9" s="1">
        <v>15254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64</v>
      </c>
    </row>
    <row r="10" spans="1:19" ht="56.25" x14ac:dyDescent="0.2">
      <c r="A10" s="3" t="s">
        <v>17</v>
      </c>
      <c r="B10" s="4">
        <v>45441</v>
      </c>
      <c r="C10" s="5">
        <v>45435</v>
      </c>
      <c r="D10" s="1">
        <v>84656</v>
      </c>
      <c r="E10" s="5">
        <v>45432</v>
      </c>
      <c r="F10" s="6">
        <v>500008</v>
      </c>
      <c r="G10" s="1">
        <v>3001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45432</v>
      </c>
      <c r="M10" s="1">
        <v>84656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65</v>
      </c>
    </row>
    <row r="11" spans="1:19" ht="78.75" x14ac:dyDescent="0.2">
      <c r="A11" s="3" t="s">
        <v>23</v>
      </c>
      <c r="B11" s="4">
        <v>45506</v>
      </c>
      <c r="C11" s="5">
        <v>45442</v>
      </c>
      <c r="D11" s="1">
        <v>15277</v>
      </c>
      <c r="E11" s="5">
        <v>45442</v>
      </c>
      <c r="F11" s="6">
        <v>5520168</v>
      </c>
      <c r="G11" s="1">
        <v>3512</v>
      </c>
      <c r="H11" s="3" t="s">
        <v>24</v>
      </c>
      <c r="I11" s="3" t="s">
        <v>6</v>
      </c>
      <c r="J11" s="3" t="s">
        <v>7</v>
      </c>
      <c r="K11" s="3" t="s">
        <v>8</v>
      </c>
      <c r="L11" s="5">
        <v>45442</v>
      </c>
      <c r="M11" s="1">
        <v>15277</v>
      </c>
      <c r="N11" s="3" t="s">
        <v>9</v>
      </c>
      <c r="O11" s="3" t="s">
        <v>10</v>
      </c>
      <c r="P11" s="3" t="s">
        <v>25</v>
      </c>
      <c r="Q11" s="3" t="s">
        <v>26</v>
      </c>
      <c r="R11" s="3" t="s">
        <v>27</v>
      </c>
      <c r="S11" s="7" t="s">
        <v>66</v>
      </c>
    </row>
    <row r="12" spans="1:19" ht="67.5" x14ac:dyDescent="0.2">
      <c r="A12" s="3" t="s">
        <v>23</v>
      </c>
      <c r="B12" s="4">
        <v>45506</v>
      </c>
      <c r="C12" s="5">
        <v>45464</v>
      </c>
      <c r="D12" s="1">
        <v>15320</v>
      </c>
      <c r="E12" s="5">
        <v>45464</v>
      </c>
      <c r="F12" s="6">
        <v>42606465</v>
      </c>
      <c r="G12" s="1">
        <v>3512</v>
      </c>
      <c r="H12" s="3" t="s">
        <v>24</v>
      </c>
      <c r="I12" s="3" t="s">
        <v>6</v>
      </c>
      <c r="J12" s="3" t="s">
        <v>7</v>
      </c>
      <c r="K12" s="3" t="s">
        <v>8</v>
      </c>
      <c r="L12" s="5">
        <v>45464</v>
      </c>
      <c r="M12" s="1">
        <v>15320</v>
      </c>
      <c r="N12" s="3" t="s">
        <v>9</v>
      </c>
      <c r="O12" s="3" t="s">
        <v>28</v>
      </c>
      <c r="P12" s="3" t="s">
        <v>29</v>
      </c>
      <c r="Q12" s="3" t="s">
        <v>30</v>
      </c>
      <c r="R12" s="3" t="s">
        <v>31</v>
      </c>
      <c r="S12" s="7" t="s">
        <v>67</v>
      </c>
    </row>
    <row r="13" spans="1:19" ht="78.75" x14ac:dyDescent="0.2">
      <c r="A13" s="3" t="s">
        <v>23</v>
      </c>
      <c r="B13" s="4">
        <v>45506</v>
      </c>
      <c r="C13" s="5">
        <v>45489</v>
      </c>
      <c r="D13" s="1">
        <v>15355</v>
      </c>
      <c r="E13" s="5">
        <v>45489</v>
      </c>
      <c r="F13" s="6">
        <v>1380042</v>
      </c>
      <c r="G13" s="1">
        <v>3512</v>
      </c>
      <c r="H13" s="3" t="s">
        <v>24</v>
      </c>
      <c r="I13" s="3" t="s">
        <v>6</v>
      </c>
      <c r="J13" s="3" t="s">
        <v>7</v>
      </c>
      <c r="K13" s="3" t="s">
        <v>8</v>
      </c>
      <c r="L13" s="5">
        <v>45489</v>
      </c>
      <c r="M13" s="1">
        <v>15355</v>
      </c>
      <c r="N13" s="3" t="s">
        <v>9</v>
      </c>
      <c r="O13" s="3" t="s">
        <v>32</v>
      </c>
      <c r="P13" s="3" t="s">
        <v>33</v>
      </c>
      <c r="Q13" s="3" t="s">
        <v>34</v>
      </c>
      <c r="R13" s="3" t="s">
        <v>35</v>
      </c>
      <c r="S13" s="7" t="s">
        <v>68</v>
      </c>
    </row>
    <row r="14" spans="1:19" ht="78.75" x14ac:dyDescent="0.2">
      <c r="A14" s="3" t="s">
        <v>23</v>
      </c>
      <c r="B14" s="4">
        <v>45506</v>
      </c>
      <c r="C14" s="5">
        <v>45489</v>
      </c>
      <c r="D14" s="1">
        <v>15340</v>
      </c>
      <c r="E14" s="5">
        <v>45489</v>
      </c>
      <c r="F14" s="6">
        <v>932500</v>
      </c>
      <c r="G14" s="1">
        <v>3512</v>
      </c>
      <c r="H14" s="3" t="s">
        <v>24</v>
      </c>
      <c r="I14" s="3" t="s">
        <v>6</v>
      </c>
      <c r="J14" s="3" t="s">
        <v>7</v>
      </c>
      <c r="K14" s="3" t="s">
        <v>8</v>
      </c>
      <c r="L14" s="5">
        <v>45489</v>
      </c>
      <c r="M14" s="1">
        <v>15340</v>
      </c>
      <c r="N14" s="3" t="s">
        <v>9</v>
      </c>
      <c r="O14" s="3" t="s">
        <v>32</v>
      </c>
      <c r="P14" s="3" t="s">
        <v>36</v>
      </c>
      <c r="Q14" s="3" t="s">
        <v>37</v>
      </c>
      <c r="R14" s="3" t="s">
        <v>38</v>
      </c>
      <c r="S14" s="7" t="s">
        <v>69</v>
      </c>
    </row>
    <row r="15" spans="1:19" ht="78.75" x14ac:dyDescent="0.2">
      <c r="A15" s="3" t="s">
        <v>23</v>
      </c>
      <c r="B15" s="4">
        <v>45506</v>
      </c>
      <c r="C15" s="5">
        <v>45490</v>
      </c>
      <c r="D15" s="1">
        <v>15341</v>
      </c>
      <c r="E15" s="5">
        <v>45490</v>
      </c>
      <c r="F15" s="6">
        <v>6350000</v>
      </c>
      <c r="G15" s="1">
        <v>3512</v>
      </c>
      <c r="H15" s="3" t="s">
        <v>24</v>
      </c>
      <c r="I15" s="3" t="s">
        <v>6</v>
      </c>
      <c r="J15" s="3" t="s">
        <v>7</v>
      </c>
      <c r="K15" s="3" t="s">
        <v>8</v>
      </c>
      <c r="L15" s="5">
        <v>45490</v>
      </c>
      <c r="M15" s="1">
        <v>15341</v>
      </c>
      <c r="N15" s="3" t="s">
        <v>9</v>
      </c>
      <c r="O15" s="3" t="s">
        <v>32</v>
      </c>
      <c r="P15" s="3" t="s">
        <v>36</v>
      </c>
      <c r="Q15" s="3" t="s">
        <v>37</v>
      </c>
      <c r="R15" s="3" t="s">
        <v>38</v>
      </c>
      <c r="S15" s="7" t="s">
        <v>70</v>
      </c>
    </row>
    <row r="16" spans="1:19" ht="78.75" x14ac:dyDescent="0.2">
      <c r="A16" s="3" t="s">
        <v>17</v>
      </c>
      <c r="B16" s="4">
        <v>45496</v>
      </c>
      <c r="C16" s="5">
        <v>45496</v>
      </c>
      <c r="D16" s="1">
        <v>15370</v>
      </c>
      <c r="E16" s="5">
        <v>45496</v>
      </c>
      <c r="F16" s="6">
        <v>36088</v>
      </c>
      <c r="G16" s="1">
        <v>3003</v>
      </c>
      <c r="H16" s="3" t="s">
        <v>5</v>
      </c>
      <c r="I16" s="3" t="s">
        <v>6</v>
      </c>
      <c r="J16" s="3" t="s">
        <v>7</v>
      </c>
      <c r="K16" s="3" t="s">
        <v>8</v>
      </c>
      <c r="L16" s="5">
        <v>45496</v>
      </c>
      <c r="M16" s="1">
        <v>15370</v>
      </c>
      <c r="N16" s="3" t="s">
        <v>9</v>
      </c>
      <c r="O16" s="3" t="s">
        <v>32</v>
      </c>
      <c r="P16" s="3" t="s">
        <v>39</v>
      </c>
      <c r="Q16" s="3" t="s">
        <v>40</v>
      </c>
      <c r="R16" s="3" t="s">
        <v>41</v>
      </c>
      <c r="S16" s="7" t="s">
        <v>71</v>
      </c>
    </row>
    <row r="17" spans="1:19" ht="78.75" x14ac:dyDescent="0.2">
      <c r="A17" s="3" t="s">
        <v>17</v>
      </c>
      <c r="B17" s="4">
        <v>45496</v>
      </c>
      <c r="C17" s="5">
        <v>45496</v>
      </c>
      <c r="D17" s="1">
        <v>15371</v>
      </c>
      <c r="E17" s="5">
        <v>45496</v>
      </c>
      <c r="F17" s="6">
        <v>45473</v>
      </c>
      <c r="G17" s="1">
        <v>3003</v>
      </c>
      <c r="H17" s="3" t="s">
        <v>5</v>
      </c>
      <c r="I17" s="3" t="s">
        <v>6</v>
      </c>
      <c r="J17" s="3" t="s">
        <v>7</v>
      </c>
      <c r="K17" s="3" t="s">
        <v>8</v>
      </c>
      <c r="L17" s="5">
        <v>45496</v>
      </c>
      <c r="M17" s="1">
        <v>15371</v>
      </c>
      <c r="N17" s="3" t="s">
        <v>9</v>
      </c>
      <c r="O17" s="3" t="s">
        <v>32</v>
      </c>
      <c r="P17" s="3" t="s">
        <v>39</v>
      </c>
      <c r="Q17" s="3" t="s">
        <v>40</v>
      </c>
      <c r="R17" s="3" t="s">
        <v>41</v>
      </c>
      <c r="S17" s="7" t="s">
        <v>72</v>
      </c>
    </row>
    <row r="18" spans="1:19" ht="78.75" x14ac:dyDescent="0.2">
      <c r="A18" s="3" t="s">
        <v>17</v>
      </c>
      <c r="B18" s="4">
        <v>45496</v>
      </c>
      <c r="C18" s="5">
        <v>45496</v>
      </c>
      <c r="D18" s="1">
        <v>15372</v>
      </c>
      <c r="E18" s="5">
        <v>45496</v>
      </c>
      <c r="F18" s="6">
        <v>26968</v>
      </c>
      <c r="G18" s="1">
        <v>3003</v>
      </c>
      <c r="H18" s="3" t="s">
        <v>5</v>
      </c>
      <c r="I18" s="3" t="s">
        <v>6</v>
      </c>
      <c r="J18" s="3" t="s">
        <v>7</v>
      </c>
      <c r="K18" s="3" t="s">
        <v>8</v>
      </c>
      <c r="L18" s="5">
        <v>45496</v>
      </c>
      <c r="M18" s="1">
        <v>15372</v>
      </c>
      <c r="N18" s="3" t="s">
        <v>9</v>
      </c>
      <c r="O18" s="3" t="s">
        <v>32</v>
      </c>
      <c r="P18" s="3" t="s">
        <v>39</v>
      </c>
      <c r="Q18" s="3" t="s">
        <v>40</v>
      </c>
      <c r="R18" s="3" t="s">
        <v>41</v>
      </c>
      <c r="S18" s="7" t="s">
        <v>73</v>
      </c>
    </row>
    <row r="19" spans="1:19" ht="78.75" x14ac:dyDescent="0.2">
      <c r="A19" s="3" t="s">
        <v>17</v>
      </c>
      <c r="B19" s="4">
        <v>45496</v>
      </c>
      <c r="C19" s="5">
        <v>45496</v>
      </c>
      <c r="D19" s="1">
        <v>15373</v>
      </c>
      <c r="E19" s="5">
        <v>45496</v>
      </c>
      <c r="F19" s="6">
        <v>76229</v>
      </c>
      <c r="G19" s="1">
        <v>3003</v>
      </c>
      <c r="H19" s="3" t="s">
        <v>5</v>
      </c>
      <c r="I19" s="3" t="s">
        <v>6</v>
      </c>
      <c r="J19" s="3" t="s">
        <v>7</v>
      </c>
      <c r="K19" s="3" t="s">
        <v>8</v>
      </c>
      <c r="L19" s="5">
        <v>45496</v>
      </c>
      <c r="M19" s="1">
        <v>15373</v>
      </c>
      <c r="N19" s="3" t="s">
        <v>9</v>
      </c>
      <c r="O19" s="3" t="s">
        <v>32</v>
      </c>
      <c r="P19" s="3" t="s">
        <v>39</v>
      </c>
      <c r="Q19" s="3" t="s">
        <v>40</v>
      </c>
      <c r="R19" s="3" t="s">
        <v>41</v>
      </c>
      <c r="S19" s="7" t="s">
        <v>74</v>
      </c>
    </row>
    <row r="20" spans="1:19" ht="67.5" x14ac:dyDescent="0.2">
      <c r="A20" s="3" t="s">
        <v>17</v>
      </c>
      <c r="B20" s="4">
        <v>45502</v>
      </c>
      <c r="C20" s="5">
        <v>45502</v>
      </c>
      <c r="D20" s="1">
        <v>15378</v>
      </c>
      <c r="E20" s="5">
        <v>45502</v>
      </c>
      <c r="F20" s="6">
        <v>15672</v>
      </c>
      <c r="G20" s="1">
        <v>3003</v>
      </c>
      <c r="H20" s="3" t="s">
        <v>5</v>
      </c>
      <c r="I20" s="3" t="s">
        <v>6</v>
      </c>
      <c r="J20" s="3" t="s">
        <v>7</v>
      </c>
      <c r="K20" s="3" t="s">
        <v>8</v>
      </c>
      <c r="L20" s="5">
        <v>45502</v>
      </c>
      <c r="M20" s="1">
        <v>15378</v>
      </c>
      <c r="N20" s="3" t="s">
        <v>9</v>
      </c>
      <c r="O20" s="3" t="s">
        <v>32</v>
      </c>
      <c r="P20" s="3" t="s">
        <v>14</v>
      </c>
      <c r="Q20" s="3" t="s">
        <v>15</v>
      </c>
      <c r="R20" s="3" t="s">
        <v>16</v>
      </c>
      <c r="S20" s="7" t="s">
        <v>75</v>
      </c>
    </row>
    <row r="21" spans="1:19" x14ac:dyDescent="0.2">
      <c r="A21" s="3" t="s">
        <v>17</v>
      </c>
      <c r="B21" s="4">
        <v>45654</v>
      </c>
      <c r="C21" s="5">
        <v>45636</v>
      </c>
      <c r="D21" s="1">
        <v>87621</v>
      </c>
      <c r="E21" s="5">
        <v>45636</v>
      </c>
      <c r="F21" s="6">
        <v>97920</v>
      </c>
      <c r="G21" s="1">
        <v>3550</v>
      </c>
      <c r="H21" s="3" t="s">
        <v>42</v>
      </c>
      <c r="I21" s="3" t="s">
        <v>6</v>
      </c>
      <c r="J21" s="3" t="s">
        <v>7</v>
      </c>
      <c r="K21" s="3" t="s">
        <v>19</v>
      </c>
      <c r="L21" s="5">
        <v>45636</v>
      </c>
      <c r="M21" s="1">
        <v>87621</v>
      </c>
      <c r="N21" s="3" t="s">
        <v>9</v>
      </c>
      <c r="O21" s="3" t="s">
        <v>43</v>
      </c>
      <c r="P21" s="3" t="s">
        <v>44</v>
      </c>
      <c r="Q21" s="3" t="s">
        <v>45</v>
      </c>
      <c r="R21" s="3" t="s">
        <v>46</v>
      </c>
      <c r="S21" s="7" t="s">
        <v>76</v>
      </c>
    </row>
    <row r="22" spans="1:19" x14ac:dyDescent="0.2">
      <c r="A22" s="3" t="s">
        <v>47</v>
      </c>
      <c r="D22" s="2"/>
      <c r="G22" s="2"/>
      <c r="M22" s="2"/>
      <c r="R22" s="14">
        <f>SUBTOTAL(103,Errores_Emision[EMAIL])</f>
        <v>14</v>
      </c>
      <c r="S22" s="8"/>
    </row>
  </sheetData>
  <conditionalFormatting sqref="A8:S2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2024-12-30T13:30:10Z</dcterms:created>
  <dcterms:modified xsi:type="dcterms:W3CDTF">2024-12-30T13:30:12Z</dcterms:modified>
</cp:coreProperties>
</file>