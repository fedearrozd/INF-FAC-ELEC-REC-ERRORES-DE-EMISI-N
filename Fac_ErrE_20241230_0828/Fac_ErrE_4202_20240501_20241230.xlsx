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EE5EFDA7-06DE-41B1-BF7F-738DF4AD7F38}" xr6:coauthVersionLast="47" xr6:coauthVersionMax="47" xr10:uidLastSave="{00000000-0000-0000-0000-000000000000}"/>
  <bookViews>
    <workbookView xWindow="1860" yWindow="1860" windowWidth="21600" windowHeight="11385" xr2:uid="{3E744DA1-0649-4C92-962D-D5DBB55110FC}"/>
  </bookViews>
  <sheets>
    <sheet name="Error_Emision" sheetId="1" r:id="rId1"/>
  </sheets>
  <definedNames>
    <definedName name="_xlnm._FilterDatabase" localSheetId="0" hidden="1">Error_Emision!$A$7:$S$14</definedName>
    <definedName name="_xlnm.Database">Error_Emision!$A$7:$S$14</definedName>
  </definedNames>
  <calcPr calcId="191029"/>
</workbook>
</file>

<file path=xl/calcChain.xml><?xml version="1.0" encoding="utf-8"?>
<calcChain xmlns="http://schemas.openxmlformats.org/spreadsheetml/2006/main">
  <c r="R15" i="1" l="1"/>
</calcChain>
</file>

<file path=xl/sharedStrings.xml><?xml version="1.0" encoding="utf-8"?>
<sst xmlns="http://schemas.openxmlformats.org/spreadsheetml/2006/main" count="101" uniqueCount="61">
  <si>
    <t>AUD_UFAC</t>
  </si>
  <si>
    <t>CXC_NUME</t>
  </si>
  <si>
    <t>MES</t>
  </si>
  <si>
    <t>ERROR</t>
  </si>
  <si>
    <t>FACON023</t>
  </si>
  <si>
    <t>NOTA CREDITO</t>
  </si>
  <si>
    <t>4202</t>
  </si>
  <si>
    <t>PTO SERV.FONSECA</t>
  </si>
  <si>
    <t>NOTACRE</t>
  </si>
  <si>
    <t>2024</t>
  </si>
  <si>
    <t>05</t>
  </si>
  <si>
    <t>1120751223</t>
  </si>
  <si>
    <t>ERICK DANIEL GARCIA RODRIGUEZ</t>
  </si>
  <si>
    <t>erickdgr1996@gmail.com</t>
  </si>
  <si>
    <t>FAFONSECA07</t>
  </si>
  <si>
    <t>FACTURA AFILIACION AGRICULTORES</t>
  </si>
  <si>
    <t>FACTURA</t>
  </si>
  <si>
    <t>1120741850</t>
  </si>
  <si>
    <t>JAIDER JOSE PARODI ALARCON</t>
  </si>
  <si>
    <t>jaiderpaalar@gmail.com</t>
  </si>
  <si>
    <t>07</t>
  </si>
  <si>
    <t>17954053</t>
  </si>
  <si>
    <t>WILFRIDO ENRIQUE PITRE  MENDOZA</t>
  </si>
  <si>
    <t>.</t>
  </si>
  <si>
    <t>08</t>
  </si>
  <si>
    <t>1120747589</t>
  </si>
  <si>
    <t>ELVER LUIS GARCIA DAZA</t>
  </si>
  <si>
    <t>17952567</t>
  </si>
  <si>
    <t>OSMAN PINTO VIDAL</t>
  </si>
  <si>
    <t>FACTURA INVENTARIO CONTADO</t>
  </si>
  <si>
    <t>10</t>
  </si>
  <si>
    <t>17950444</t>
  </si>
  <si>
    <t>JOSE RAMON MOLINA PELAEZ .</t>
  </si>
  <si>
    <t>asorancheria08@gmail.com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</si>
  <si>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</si>
  <si>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</si>
  <si>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</si>
  <si>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</si>
  <si>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</si>
  <si>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</si>
  <si>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</si>
  <si>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</si>
  <si>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</si>
  <si>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</si>
  <si>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</si>
  <si>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</si>
  <si>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</si>
  <si>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</si>
  <si>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</si>
  <si>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</si>
  <si>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[24P420214439]. Descripción: [Validación contiene errores en campos mandatorios.] - Errores: [Regla: CBG05, Rechazo: Algoritmo referenciado no existe,Regla: CBG03, Rechazo: ID de NC de referencia no relacionada,Regla: CBG06, Rechazo: Fecha NC referenciada anterior a fecha de la factura,Regla: CBG04, Rechazo: CUDE de NC referenciada no existe,Regla: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</si>
  <si>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[420217747].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</si>
  <si>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[420217885].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</si>
  <si>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[420217957]. Descripción: [Validación contiene errores en campos mandatorios.] - Errores: [Regla: FAD05b, Rechazo: Número de factura es inferior al número inicial del rango de numeración autorizado,Regla: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</si>
  <si>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[420217963]. Descripción: [Validación contiene errores en campos mandatorios.] - Errores: [Regla: FAD05b, Rechazo: Número de factura es inferior al número inicial del rango de numeración autorizado,Regla: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</si>
  <si>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[420217964]. Descripción: [Validación contiene errores en campos mandatorios.] - Errores: [Regla: FAD05b, Rechazo: Número de factura es inferior al número inicial del rango de numeración autorizado,Regla: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</si>
  <si>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[24P420214495].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</si>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</sst>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15449-C7EC-42D4-B5D4-97101D02655A}" name="Errores_Emision" displayName="Errores_Emision" ref="A7:S15" totalsRowCount="1" headerRowDxfId="3" dataDxfId="42" totalsRowDxfId="43" headerRowBorderDxfId="4">
  <autoFilter ref="A7:S14" xr:uid="{74F5F074-6F8F-4C6C-990F-4F530FAE9357}"/>
  <tableColumns count="19">
    <tableColumn id="1" xr3:uid="{239C93F5-018A-4F95-99DB-EA2BC582D62B}" name="USUARIO" totalsRowLabel="Total" dataDxfId="36" totalsRowDxfId="37"/>
    <tableColumn id="2" xr3:uid="{3873A960-D45C-469F-A10F-CBD2633C9C61}" name="AUD_UFAC" dataDxfId="34" totalsRowDxfId="35"/>
    <tableColumn id="3" xr3:uid="{E200648F-DE49-4760-A70D-CC4393FEF8BF}" name="FECH_APLICA" dataDxfId="33" totalsRowDxfId="32"/>
    <tableColumn id="4" xr3:uid="{2A69ACD0-A850-43CE-9E14-53A8CE19F97B}" name="DOCUMENTO" dataDxfId="31" totalsRowDxfId="41"/>
    <tableColumn id="5" xr3:uid="{00ACCE53-429F-49F2-B9A2-90699885AC37}" name="FECH_DOCUMENTO" dataDxfId="29" totalsRowDxfId="30"/>
    <tableColumn id="6" xr3:uid="{9B4D4716-F0C3-409A-857F-3BC58DB24217}" name="FAC_VLR_TOTAL" dataDxfId="28" totalsRowDxfId="27"/>
    <tableColumn id="7" xr3:uid="{718B4765-1E8F-4967-87D4-FE8AFBDC28A8}" name="COD_TIPO_OPERAC" dataDxfId="26" totalsRowDxfId="40"/>
    <tableColumn id="8" xr3:uid="{8C44122B-D5A0-4015-BB4E-7BB7DD0AAEA3}" name="TIPO_OPERAC" dataDxfId="24" totalsRowDxfId="25"/>
    <tableColumn id="9" xr3:uid="{84C465A0-CD34-4F43-B891-7DA868367299}" name="COD_SUCUR" dataDxfId="22" totalsRowDxfId="23"/>
    <tableColumn id="10" xr3:uid="{754392FD-2082-47D9-B178-F1E3C5B2EDA3}" name="SUCURSAL" dataDxfId="20" totalsRowDxfId="21"/>
    <tableColumn id="11" xr3:uid="{BC3DA54F-D628-4982-924A-5106E2F53F24}" name="TIPO_DOCUMENTO" dataDxfId="18" totalsRowDxfId="19"/>
    <tableColumn id="12" xr3:uid="{39D91E42-F4DC-49CB-9CC9-69EE715627C8}" name="FECH_FACTURA" dataDxfId="17" totalsRowDxfId="16"/>
    <tableColumn id="13" xr3:uid="{779C14D6-8EFC-4C7F-9148-3DF1BF94ED5F}" name="CXC_NUME" dataDxfId="15" totalsRowDxfId="39"/>
    <tableColumn id="14" xr3:uid="{D6C5E486-5447-46D9-B1FF-726670A34888}" name="AÑO" dataDxfId="13" totalsRowDxfId="14"/>
    <tableColumn id="15" xr3:uid="{9F5722F1-6260-48CE-A41F-C24BE54523DC}" name="MES" dataDxfId="11" totalsRowDxfId="12"/>
    <tableColumn id="16" xr3:uid="{7E5F4184-CC21-4E75-A2BA-484D09B7401C}" name="NIT" dataDxfId="9" totalsRowDxfId="10"/>
    <tableColumn id="17" xr3:uid="{03B86A91-E8FC-419A-9328-0B8752875522}" name="NOMBRE" dataDxfId="7" totalsRowDxfId="8"/>
    <tableColumn id="18" xr3:uid="{3E5AE48A-F71F-43F9-90BC-17935735074C}" name="EMAIL" totalsRowFunction="count" dataDxfId="5" totalsRowDxfId="2"/>
    <tableColumn id="19" xr3:uid="{63881178-B89E-4D09-AAE9-8FBC66CE856B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074-6F8F-4C6C-990F-4F530FAE9357}">
  <sheetPr>
    <tabColor rgb="FF92D050"/>
  </sheetPr>
  <dimension ref="A1:S15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8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6" style="3" bestFit="1" customWidth="1"/>
    <col min="18" max="18" width="22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57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58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59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60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35</v>
      </c>
      <c r="B7" s="10" t="s">
        <v>0</v>
      </c>
      <c r="C7" s="11" t="s">
        <v>36</v>
      </c>
      <c r="D7" s="12" t="s">
        <v>37</v>
      </c>
      <c r="E7" s="11" t="s">
        <v>38</v>
      </c>
      <c r="F7" s="13" t="s">
        <v>39</v>
      </c>
      <c r="G7" s="12" t="s">
        <v>40</v>
      </c>
      <c r="H7" s="9" t="s">
        <v>41</v>
      </c>
      <c r="I7" s="9" t="s">
        <v>42</v>
      </c>
      <c r="J7" s="9" t="s">
        <v>43</v>
      </c>
      <c r="K7" s="9" t="s">
        <v>44</v>
      </c>
      <c r="L7" s="11" t="s">
        <v>45</v>
      </c>
      <c r="M7" s="12" t="s">
        <v>1</v>
      </c>
      <c r="N7" s="9" t="s">
        <v>46</v>
      </c>
      <c r="O7" s="9" t="s">
        <v>2</v>
      </c>
      <c r="P7" s="9" t="s">
        <v>47</v>
      </c>
      <c r="Q7" s="9" t="s">
        <v>48</v>
      </c>
      <c r="R7" s="9" t="s">
        <v>49</v>
      </c>
      <c r="S7" s="12" t="s">
        <v>3</v>
      </c>
    </row>
    <row r="8" spans="1:19" ht="90" x14ac:dyDescent="0.2">
      <c r="A8" s="3" t="s">
        <v>4</v>
      </c>
      <c r="B8" s="4">
        <v>45419</v>
      </c>
      <c r="C8" s="5">
        <v>45441</v>
      </c>
      <c r="D8" s="1">
        <v>14439</v>
      </c>
      <c r="E8" s="5">
        <v>45441</v>
      </c>
      <c r="F8" s="6">
        <v>70507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45441</v>
      </c>
      <c r="M8" s="1">
        <v>14439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50</v>
      </c>
    </row>
    <row r="9" spans="1:19" ht="56.25" x14ac:dyDescent="0.2">
      <c r="A9" s="3" t="s">
        <v>14</v>
      </c>
      <c r="B9" s="4">
        <v>45441</v>
      </c>
      <c r="C9" s="5">
        <v>45419</v>
      </c>
      <c r="D9" s="1">
        <v>17747</v>
      </c>
      <c r="E9" s="5">
        <v>45419</v>
      </c>
      <c r="F9" s="6">
        <v>10000</v>
      </c>
      <c r="G9" s="1">
        <v>3014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45419</v>
      </c>
      <c r="M9" s="1">
        <v>17747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51</v>
      </c>
    </row>
    <row r="10" spans="1:19" ht="56.25" x14ac:dyDescent="0.2">
      <c r="A10" s="3" t="s">
        <v>14</v>
      </c>
      <c r="B10" s="4">
        <v>45506</v>
      </c>
      <c r="C10" s="5">
        <v>45484</v>
      </c>
      <c r="D10" s="1">
        <v>17885</v>
      </c>
      <c r="E10" s="5">
        <v>45484</v>
      </c>
      <c r="F10" s="6">
        <v>4000</v>
      </c>
      <c r="G10" s="1">
        <v>3014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45484</v>
      </c>
      <c r="M10" s="1">
        <v>17885</v>
      </c>
      <c r="N10" s="3" t="s">
        <v>9</v>
      </c>
      <c r="O10" s="3" t="s">
        <v>20</v>
      </c>
      <c r="P10" s="3" t="s">
        <v>21</v>
      </c>
      <c r="Q10" s="3" t="s">
        <v>22</v>
      </c>
      <c r="R10" s="3" t="s">
        <v>23</v>
      </c>
      <c r="S10" s="7" t="s">
        <v>52</v>
      </c>
    </row>
    <row r="11" spans="1:19" ht="67.5" x14ac:dyDescent="0.2">
      <c r="A11" s="3" t="s">
        <v>14</v>
      </c>
      <c r="B11" s="4">
        <v>45568</v>
      </c>
      <c r="C11" s="5">
        <v>45506</v>
      </c>
      <c r="D11" s="1">
        <v>17957</v>
      </c>
      <c r="E11" s="5">
        <v>45506</v>
      </c>
      <c r="F11" s="6">
        <v>10000</v>
      </c>
      <c r="G11" s="1">
        <v>3014</v>
      </c>
      <c r="H11" s="3" t="s">
        <v>15</v>
      </c>
      <c r="I11" s="3" t="s">
        <v>6</v>
      </c>
      <c r="J11" s="3" t="s">
        <v>7</v>
      </c>
      <c r="K11" s="3" t="s">
        <v>16</v>
      </c>
      <c r="L11" s="5">
        <v>45506</v>
      </c>
      <c r="M11" s="1">
        <v>17957</v>
      </c>
      <c r="N11" s="3" t="s">
        <v>9</v>
      </c>
      <c r="O11" s="3" t="s">
        <v>24</v>
      </c>
      <c r="P11" s="3" t="s">
        <v>25</v>
      </c>
      <c r="Q11" s="3" t="s">
        <v>26</v>
      </c>
      <c r="R11" s="3" t="s">
        <v>23</v>
      </c>
      <c r="S11" s="7" t="s">
        <v>53</v>
      </c>
    </row>
    <row r="12" spans="1:19" ht="67.5" x14ac:dyDescent="0.2">
      <c r="A12" s="3" t="s">
        <v>14</v>
      </c>
      <c r="B12" s="4">
        <v>45568</v>
      </c>
      <c r="C12" s="5">
        <v>45513</v>
      </c>
      <c r="D12" s="1">
        <v>17963</v>
      </c>
      <c r="E12" s="5">
        <v>45513</v>
      </c>
      <c r="F12" s="6">
        <v>2000</v>
      </c>
      <c r="G12" s="1">
        <v>3014</v>
      </c>
      <c r="H12" s="3" t="s">
        <v>15</v>
      </c>
      <c r="I12" s="3" t="s">
        <v>6</v>
      </c>
      <c r="J12" s="3" t="s">
        <v>7</v>
      </c>
      <c r="K12" s="3" t="s">
        <v>16</v>
      </c>
      <c r="L12" s="5">
        <v>45513</v>
      </c>
      <c r="M12" s="1">
        <v>17963</v>
      </c>
      <c r="N12" s="3" t="s">
        <v>9</v>
      </c>
      <c r="O12" s="3" t="s">
        <v>24</v>
      </c>
      <c r="P12" s="3" t="s">
        <v>27</v>
      </c>
      <c r="Q12" s="3" t="s">
        <v>28</v>
      </c>
      <c r="R12" s="3" t="s">
        <v>23</v>
      </c>
      <c r="S12" s="7" t="s">
        <v>54</v>
      </c>
    </row>
    <row r="13" spans="1:19" ht="67.5" x14ac:dyDescent="0.2">
      <c r="A13" s="3" t="s">
        <v>14</v>
      </c>
      <c r="B13" s="4">
        <v>45568</v>
      </c>
      <c r="C13" s="5">
        <v>45513</v>
      </c>
      <c r="D13" s="1">
        <v>17964</v>
      </c>
      <c r="E13" s="5">
        <v>45513</v>
      </c>
      <c r="F13" s="6">
        <v>85017</v>
      </c>
      <c r="G13" s="1">
        <v>3550</v>
      </c>
      <c r="H13" s="3" t="s">
        <v>29</v>
      </c>
      <c r="I13" s="3" t="s">
        <v>6</v>
      </c>
      <c r="J13" s="3" t="s">
        <v>7</v>
      </c>
      <c r="K13" s="3" t="s">
        <v>16</v>
      </c>
      <c r="L13" s="5">
        <v>45513</v>
      </c>
      <c r="M13" s="1">
        <v>17964</v>
      </c>
      <c r="N13" s="3" t="s">
        <v>9</v>
      </c>
      <c r="O13" s="3" t="s">
        <v>24</v>
      </c>
      <c r="P13" s="3" t="s">
        <v>27</v>
      </c>
      <c r="Q13" s="3" t="s">
        <v>28</v>
      </c>
      <c r="R13" s="3" t="s">
        <v>23</v>
      </c>
      <c r="S13" s="7" t="s">
        <v>55</v>
      </c>
    </row>
    <row r="14" spans="1:19" ht="78.75" x14ac:dyDescent="0.2">
      <c r="A14" s="3" t="s">
        <v>14</v>
      </c>
      <c r="B14" s="4">
        <v>45610</v>
      </c>
      <c r="C14" s="5">
        <v>45589</v>
      </c>
      <c r="D14" s="1">
        <v>14495</v>
      </c>
      <c r="E14" s="5">
        <v>45589</v>
      </c>
      <c r="F14" s="6">
        <v>1407</v>
      </c>
      <c r="G14" s="1">
        <v>3003</v>
      </c>
      <c r="H14" s="3" t="s">
        <v>5</v>
      </c>
      <c r="I14" s="3" t="s">
        <v>6</v>
      </c>
      <c r="J14" s="3" t="s">
        <v>7</v>
      </c>
      <c r="K14" s="3" t="s">
        <v>8</v>
      </c>
      <c r="L14" s="5">
        <v>45589</v>
      </c>
      <c r="M14" s="1">
        <v>14495</v>
      </c>
      <c r="N14" s="3" t="s">
        <v>9</v>
      </c>
      <c r="O14" s="3" t="s">
        <v>30</v>
      </c>
      <c r="P14" s="3" t="s">
        <v>31</v>
      </c>
      <c r="Q14" s="3" t="s">
        <v>32</v>
      </c>
      <c r="R14" s="3" t="s">
        <v>33</v>
      </c>
      <c r="S14" s="7" t="s">
        <v>56</v>
      </c>
    </row>
    <row r="15" spans="1:19" x14ac:dyDescent="0.2">
      <c r="A15" s="3" t="s">
        <v>34</v>
      </c>
      <c r="D15" s="2"/>
      <c r="G15" s="2"/>
      <c r="M15" s="2"/>
      <c r="R15" s="14">
        <f>SUBTOTAL(103,Errores_Emision[EMAIL])</f>
        <v>7</v>
      </c>
      <c r="S15" s="8"/>
    </row>
  </sheetData>
  <conditionalFormatting sqref="A8:S14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2024-12-30T13:33:44Z</dcterms:created>
  <dcterms:modified xsi:type="dcterms:W3CDTF">2024-12-30T13:33:46Z</dcterms:modified>
</cp:coreProperties>
</file>