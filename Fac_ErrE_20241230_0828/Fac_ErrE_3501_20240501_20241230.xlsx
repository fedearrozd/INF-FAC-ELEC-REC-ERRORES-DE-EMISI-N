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D8CF6855-893C-4A89-B5A2-F8EECF56B422}" xr6:coauthVersionLast="47" xr6:coauthVersionMax="47" xr10:uidLastSave="{00000000-0000-0000-0000-000000000000}"/>
  <bookViews>
    <workbookView xWindow="1860" yWindow="1860" windowWidth="21600" windowHeight="11385" xr2:uid="{D1FA80D7-CEC2-48CE-A11B-54EF28450C23}"/>
  </bookViews>
  <sheets>
    <sheet name="Error_Emision" sheetId="1" r:id="rId1"/>
  </sheets>
  <definedNames>
    <definedName name="_xlnm._FilterDatabase" localSheetId="0" hidden="1">Error_Emision!$A$7:$S$11</definedName>
    <definedName name="_xlnm.Database">Error_Emision!$A$7:$S$11</definedName>
  </definedNames>
  <calcPr calcId="191029"/>
</workbook>
</file>

<file path=xl/calcChain.xml><?xml version="1.0" encoding="utf-8"?>
<calcChain xmlns="http://schemas.openxmlformats.org/spreadsheetml/2006/main">
  <c r="R12" i="1" l="1"/>
</calcChain>
</file>

<file path=xl/sharedStrings.xml><?xml version="1.0" encoding="utf-8"?>
<sst xmlns="http://schemas.openxmlformats.org/spreadsheetml/2006/main" count="68" uniqueCount="51">
  <si>
    <t>AUD_UFAC</t>
  </si>
  <si>
    <t>CXC_NUME</t>
  </si>
  <si>
    <t>MES</t>
  </si>
  <si>
    <t>ERROR</t>
  </si>
  <si>
    <t>FACOM024</t>
  </si>
  <si>
    <t>NC DEVOLUCION CLIENTE</t>
  </si>
  <si>
    <t>3501</t>
  </si>
  <si>
    <t>YOPAL</t>
  </si>
  <si>
    <t>NOTACRE</t>
  </si>
  <si>
    <t>2024</t>
  </si>
  <si>
    <t>06</t>
  </si>
  <si>
    <t>68305508</t>
  </si>
  <si>
    <t>ERMINIA ARGOTA CARDENAS .</t>
  </si>
  <si>
    <t>yicelita.312@gmail.com</t>
  </si>
  <si>
    <t>FACAR002</t>
  </si>
  <si>
    <t>ND INTERESES DE MORA</t>
  </si>
  <si>
    <t>NOTADEB</t>
  </si>
  <si>
    <t>11</t>
  </si>
  <si>
    <t>1118545422</t>
  </si>
  <si>
    <t>LUCY VIVIANA REYES PAEZ</t>
  </si>
  <si>
    <t>lucy90289@gmail.com</t>
  </si>
  <si>
    <t>10547771</t>
  </si>
  <si>
    <t>ANGEL RUBIEL VILLEGAS MUÐOZ</t>
  </si>
  <si>
    <t>agroarrozltda@hotmail.com</t>
  </si>
  <si>
    <t>901053757</t>
  </si>
  <si>
    <t>AGRORIENTE S&amp;C S.A.S.</t>
  </si>
  <si>
    <t>recepcionfegrupoagroriente@hotmail.com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</si>
  <si>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</si>
  <si>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</si>
  <si>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</si>
  <si>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</si>
  <si>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</si>
  <si>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</si>
  <si>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</si>
  <si>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</si>
  <si>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</si>
  <si>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</si>
  <si>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</si>
  <si>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</si>
  <si>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</si>
  <si>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</si>
  <si>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</si>
  <si>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</si>
  <si>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[24Y350133082].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</si>
  <si>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[24Y3501101907]. Descripción: [Validación contiene errores en campos mandatorios.] - Errores: [Regla: DAD09e, Rechazo: La fecha de generación de la ND es diferente a la fecha de firma de la ND,Regla: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</si>
  <si>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[24Y3501101857]. Descripción: [Validación contiene errores en campos mandatorios.] - Errores: [Regla: DAD09e, Rechazo: La fecha de generación de la ND es diferente a la fecha de firma de la ND,Regla: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</si>
  <si>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[24Y3501101962]. Descripción: [Validación contiene errores en campos mandatorios.] - Errores: [Regla: DAD09e, Rechazo: La fecha de generación de la ND es diferente a la fecha de firma de la ND,Regla: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</si>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</sst>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E271CB-83E0-4616-9078-1E07D142C816}" name="Errores_Emision" displayName="Errores_Emision" ref="A7:S12" totalsRowCount="1" headerRowDxfId="3" dataDxfId="42" totalsRowDxfId="43" headerRowBorderDxfId="4">
  <autoFilter ref="A7:S11" xr:uid="{9575F347-01C1-4DD8-ACBE-D493553DC0BA}"/>
  <tableColumns count="19">
    <tableColumn id="1" xr3:uid="{BF7F029F-1EF2-4ABB-8AB3-A3905B83494C}" name="USUARIO" totalsRowLabel="Total" dataDxfId="36" totalsRowDxfId="37"/>
    <tableColumn id="2" xr3:uid="{E6CAB53C-2224-4CAF-9480-A2B8EBA58B17}" name="AUD_UFAC" dataDxfId="34" totalsRowDxfId="35"/>
    <tableColumn id="3" xr3:uid="{5D7CFA66-EC9D-45EB-9872-948B1991B238}" name="FECH_APLICA" dataDxfId="33" totalsRowDxfId="32"/>
    <tableColumn id="4" xr3:uid="{3751EFDD-5A28-46E9-AC92-0754772809FB}" name="DOCUMENTO" dataDxfId="31" totalsRowDxfId="41"/>
    <tableColumn id="5" xr3:uid="{0225CF00-A335-44B7-9E71-181A0D80D7D6}" name="FECH_DOCUMENTO" dataDxfId="29" totalsRowDxfId="30"/>
    <tableColumn id="6" xr3:uid="{2F298CD7-5776-4027-A310-2334B2C2EC31}" name="FAC_VLR_TOTAL" dataDxfId="28" totalsRowDxfId="27"/>
    <tableColumn id="7" xr3:uid="{2BDD898B-B754-4C94-BE92-1225FE866E3C}" name="COD_TIPO_OPERAC" dataDxfId="26" totalsRowDxfId="40"/>
    <tableColumn id="8" xr3:uid="{99B5E931-FC78-4370-91C9-5ECA67FD875F}" name="TIPO_OPERAC" dataDxfId="24" totalsRowDxfId="25"/>
    <tableColumn id="9" xr3:uid="{52B1E158-4E86-4C17-9A78-A162C97C7866}" name="COD_SUCUR" dataDxfId="22" totalsRowDxfId="23"/>
    <tableColumn id="10" xr3:uid="{B13F66A2-9580-4CF9-91CD-B52A3D8B8AF7}" name="SUCURSAL" dataDxfId="20" totalsRowDxfId="21"/>
    <tableColumn id="11" xr3:uid="{649E251F-150F-4041-B374-404D7985FED2}" name="TIPO_DOCUMENTO" dataDxfId="18" totalsRowDxfId="19"/>
    <tableColumn id="12" xr3:uid="{6697D6FC-E23F-4AB7-A6FA-A99D934D6900}" name="FECH_FACTURA" dataDxfId="17" totalsRowDxfId="16"/>
    <tableColumn id="13" xr3:uid="{ED9118FB-7033-407B-A07E-858EA336744E}" name="CXC_NUME" dataDxfId="15" totalsRowDxfId="39"/>
    <tableColumn id="14" xr3:uid="{7779AA22-929C-4A75-B5DA-BEC28E51E126}" name="AÑO" dataDxfId="13" totalsRowDxfId="14"/>
    <tableColumn id="15" xr3:uid="{16758021-7BD2-446B-8FEC-B4FD70871EC0}" name="MES" dataDxfId="11" totalsRowDxfId="12"/>
    <tableColumn id="16" xr3:uid="{498D251C-DBA4-4AD8-942A-39EA0EB71D3A}" name="NIT" dataDxfId="9" totalsRowDxfId="10"/>
    <tableColumn id="17" xr3:uid="{DC3C17BB-E6AA-4FE5-B047-62957A69DC53}" name="NOMBRE" dataDxfId="7" totalsRowDxfId="8"/>
    <tableColumn id="18" xr3:uid="{F86A5FFB-29FD-4BC8-94DF-273E2AC9D719}" name="EMAIL" totalsRowFunction="count" dataDxfId="5" totalsRowDxfId="2"/>
    <tableColumn id="19" xr3:uid="{93A75006-4704-4432-ADCB-CF7DDC4DA51A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F347-01C1-4DD8-ACBE-D493553DC0BA}">
  <sheetPr>
    <tabColor rgb="FF92D050"/>
  </sheetPr>
  <dimension ref="A1:S12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1.5" style="3" bestFit="1" customWidth="1"/>
    <col min="18" max="18" width="34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47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48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49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50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28</v>
      </c>
      <c r="B7" s="10" t="s">
        <v>0</v>
      </c>
      <c r="C7" s="11" t="s">
        <v>29</v>
      </c>
      <c r="D7" s="12" t="s">
        <v>30</v>
      </c>
      <c r="E7" s="11" t="s">
        <v>31</v>
      </c>
      <c r="F7" s="13" t="s">
        <v>32</v>
      </c>
      <c r="G7" s="12" t="s">
        <v>33</v>
      </c>
      <c r="H7" s="9" t="s">
        <v>34</v>
      </c>
      <c r="I7" s="9" t="s">
        <v>35</v>
      </c>
      <c r="J7" s="9" t="s">
        <v>36</v>
      </c>
      <c r="K7" s="9" t="s">
        <v>37</v>
      </c>
      <c r="L7" s="11" t="s">
        <v>38</v>
      </c>
      <c r="M7" s="12" t="s">
        <v>1</v>
      </c>
      <c r="N7" s="9" t="s">
        <v>39</v>
      </c>
      <c r="O7" s="9" t="s">
        <v>2</v>
      </c>
      <c r="P7" s="9" t="s">
        <v>40</v>
      </c>
      <c r="Q7" s="9" t="s">
        <v>41</v>
      </c>
      <c r="R7" s="9" t="s">
        <v>42</v>
      </c>
      <c r="S7" s="12" t="s">
        <v>3</v>
      </c>
    </row>
    <row r="8" spans="1:19" ht="78.75" x14ac:dyDescent="0.2">
      <c r="A8" s="3" t="s">
        <v>4</v>
      </c>
      <c r="B8" s="4">
        <v>45506</v>
      </c>
      <c r="C8" s="5">
        <v>45464</v>
      </c>
      <c r="D8" s="1">
        <v>33082</v>
      </c>
      <c r="E8" s="5">
        <v>45464</v>
      </c>
      <c r="F8" s="6">
        <v>39837292</v>
      </c>
      <c r="G8" s="1">
        <v>3512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45464</v>
      </c>
      <c r="M8" s="1">
        <v>33082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43</v>
      </c>
    </row>
    <row r="9" spans="1:19" ht="56.25" x14ac:dyDescent="0.2">
      <c r="A9" s="3" t="s">
        <v>14</v>
      </c>
      <c r="B9" s="4">
        <v>45625</v>
      </c>
      <c r="C9" s="5">
        <v>45624</v>
      </c>
      <c r="D9" s="1">
        <v>101907</v>
      </c>
      <c r="E9" s="5">
        <v>45624</v>
      </c>
      <c r="F9" s="6">
        <v>22881</v>
      </c>
      <c r="G9" s="1">
        <v>3006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45624</v>
      </c>
      <c r="M9" s="1">
        <v>101907</v>
      </c>
      <c r="N9" s="3" t="s">
        <v>9</v>
      </c>
      <c r="O9" s="3" t="s">
        <v>17</v>
      </c>
      <c r="P9" s="3" t="s">
        <v>18</v>
      </c>
      <c r="Q9" s="3" t="s">
        <v>19</v>
      </c>
      <c r="R9" s="3" t="s">
        <v>20</v>
      </c>
      <c r="S9" s="7" t="s">
        <v>44</v>
      </c>
    </row>
    <row r="10" spans="1:19" ht="56.25" x14ac:dyDescent="0.2">
      <c r="A10" s="3" t="s">
        <v>14</v>
      </c>
      <c r="B10" s="4">
        <v>45625</v>
      </c>
      <c r="C10" s="5">
        <v>45624</v>
      </c>
      <c r="D10" s="1">
        <v>101857</v>
      </c>
      <c r="E10" s="5">
        <v>45624</v>
      </c>
      <c r="F10" s="6">
        <v>135</v>
      </c>
      <c r="G10" s="1">
        <v>3006</v>
      </c>
      <c r="H10" s="3" t="s">
        <v>15</v>
      </c>
      <c r="I10" s="3" t="s">
        <v>6</v>
      </c>
      <c r="J10" s="3" t="s">
        <v>7</v>
      </c>
      <c r="K10" s="3" t="s">
        <v>16</v>
      </c>
      <c r="L10" s="5">
        <v>45624</v>
      </c>
      <c r="M10" s="1">
        <v>101857</v>
      </c>
      <c r="N10" s="3" t="s">
        <v>9</v>
      </c>
      <c r="O10" s="3" t="s">
        <v>17</v>
      </c>
      <c r="P10" s="3" t="s">
        <v>21</v>
      </c>
      <c r="Q10" s="3" t="s">
        <v>22</v>
      </c>
      <c r="R10" s="3" t="s">
        <v>23</v>
      </c>
      <c r="S10" s="7" t="s">
        <v>45</v>
      </c>
    </row>
    <row r="11" spans="1:19" ht="56.25" x14ac:dyDescent="0.2">
      <c r="A11" s="3" t="s">
        <v>14</v>
      </c>
      <c r="B11" s="4">
        <v>45625</v>
      </c>
      <c r="C11" s="5">
        <v>45624</v>
      </c>
      <c r="D11" s="1">
        <v>101962</v>
      </c>
      <c r="E11" s="5">
        <v>45624</v>
      </c>
      <c r="F11" s="6">
        <v>58</v>
      </c>
      <c r="G11" s="1">
        <v>3006</v>
      </c>
      <c r="H11" s="3" t="s">
        <v>15</v>
      </c>
      <c r="I11" s="3" t="s">
        <v>6</v>
      </c>
      <c r="J11" s="3" t="s">
        <v>7</v>
      </c>
      <c r="K11" s="3" t="s">
        <v>16</v>
      </c>
      <c r="L11" s="5">
        <v>45624</v>
      </c>
      <c r="M11" s="1">
        <v>101962</v>
      </c>
      <c r="N11" s="3" t="s">
        <v>9</v>
      </c>
      <c r="O11" s="3" t="s">
        <v>17</v>
      </c>
      <c r="P11" s="3" t="s">
        <v>24</v>
      </c>
      <c r="Q11" s="3" t="s">
        <v>25</v>
      </c>
      <c r="R11" s="3" t="s">
        <v>26</v>
      </c>
      <c r="S11" s="7" t="s">
        <v>46</v>
      </c>
    </row>
    <row r="12" spans="1:19" x14ac:dyDescent="0.2">
      <c r="A12" s="3" t="s">
        <v>27</v>
      </c>
      <c r="D12" s="2"/>
      <c r="G12" s="2"/>
      <c r="M12" s="2"/>
      <c r="R12" s="14">
        <f>SUBTOTAL(103,Errores_Emision[EMAIL])</f>
        <v>4</v>
      </c>
      <c r="S12" s="8"/>
    </row>
  </sheetData>
  <conditionalFormatting sqref="A8:S11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2024-12-30T13:32:40Z</dcterms:created>
  <dcterms:modified xsi:type="dcterms:W3CDTF">2024-12-30T13:32:42Z</dcterms:modified>
</cp:coreProperties>
</file>