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4.168.0.65\D$\BKDESARROLLO\FEDEARROZ\FACTURACION\FACERREMI\Fac_ErrE_20250109_1200\"/>
    </mc:Choice>
  </mc:AlternateContent>
  <xr:revisionPtr revIDLastSave="0" documentId="13_ncr:9_{7A754BB6-7D06-426E-9197-CA3927184873}" xr6:coauthVersionLast="47" xr6:coauthVersionMax="47" xr10:uidLastSave="{00000000-0000-0000-0000-000000000000}"/>
  <bookViews>
    <workbookView xWindow="-60" yWindow="-60" windowWidth="15480" windowHeight="11640" xr2:uid="{50F54F92-DA6D-453F-900B-09AC49C8FC1F}"/>
  </bookViews>
  <sheets>
    <sheet name="Error_Emision" sheetId="1" r:id="rId1"/>
  </sheets>
  <definedNames>
    <definedName name="_xlnm._FilterDatabase" localSheetId="0" hidden="1">Error_Emision!$A$10:$R$74</definedName>
    <definedName name="SegmentaciónDeDatos_SUCURSAL">#N/A</definedName>
  </definedNames>
  <calcPr calcId="0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</x15:slicerCaches>
    </ext>
  </extLst>
</workbook>
</file>

<file path=xl/calcChain.xml><?xml version="1.0" encoding="utf-8"?>
<calcChain xmlns="http://schemas.openxmlformats.org/spreadsheetml/2006/main">
  <c r="R75" i="1" l="1"/>
</calcChain>
</file>

<file path=xl/sharedStrings.xml><?xml version="1.0" encoding="utf-8"?>
<sst xmlns="http://schemas.openxmlformats.org/spreadsheetml/2006/main" count="728" uniqueCount="278">
  <si>
    <t>FAIBAGUE03</t>
  </si>
  <si>
    <t>FACTURA INVENTARIO CONTADO</t>
  </si>
  <si>
    <t>2201</t>
  </si>
  <si>
    <t>IBAGUE</t>
  </si>
  <si>
    <t>FACTURA</t>
  </si>
  <si>
    <t>2025</t>
  </si>
  <si>
    <t>01</t>
  </si>
  <si>
    <t>93088258</t>
  </si>
  <si>
    <t>FERNEY.GUZMAN ORTIZ</t>
  </si>
  <si>
    <t>guzmanferney@hotmail.com</t>
  </si>
  <si>
    <t>FAPURIFICA05</t>
  </si>
  <si>
    <t>2502</t>
  </si>
  <si>
    <t>PTO SERV.PURIFICACIÓN</t>
  </si>
  <si>
    <t>93152542</t>
  </si>
  <si>
    <t>EDILSON ALBERTO TAPIERO MONCALEANO .</t>
  </si>
  <si>
    <t>albertotapieromoncaleano@gmail.com</t>
  </si>
  <si>
    <t>FAFONTIBON01</t>
  </si>
  <si>
    <t>2107</t>
  </si>
  <si>
    <t>BOGOTA MI TIENDA FONTIBON</t>
  </si>
  <si>
    <t>52935886</t>
  </si>
  <si>
    <t>CAROLINA CUELLAR</t>
  </si>
  <si>
    <t>carolinacuellar@fedearroz.com.co</t>
  </si>
  <si>
    <t>91201582</t>
  </si>
  <si>
    <t>GERARDO MORA</t>
  </si>
  <si>
    <t>germora2302@gmail.com</t>
  </si>
  <si>
    <t>1016088615</t>
  </si>
  <si>
    <t>MARIA PAULA DIAZ</t>
  </si>
  <si>
    <t>mapa1109@hotmail.com</t>
  </si>
  <si>
    <t>19369014</t>
  </si>
  <si>
    <t>JAIME BUITRAGO ESPEJO</t>
  </si>
  <si>
    <t>jaimebuitragoespejo@gmail.com</t>
  </si>
  <si>
    <t>23574167</t>
  </si>
  <si>
    <t>ANA SIXTA BAUTISTA ROBALLO</t>
  </si>
  <si>
    <t>ana.bautista@aerocivil.gov.co</t>
  </si>
  <si>
    <t>FACAR004</t>
  </si>
  <si>
    <t>NOTA CREDITO</t>
  </si>
  <si>
    <t>2601</t>
  </si>
  <si>
    <t>NEIVA</t>
  </si>
  <si>
    <t>NOTACRE</t>
  </si>
  <si>
    <t>26421479</t>
  </si>
  <si>
    <t>MARTHA JUDITH FALLA CABRERA .</t>
  </si>
  <si>
    <t>cabreragomez90@hotmail.com</t>
  </si>
  <si>
    <t>79967465</t>
  </si>
  <si>
    <t>FREDY ALEJANDRA CORTES CAMARGO</t>
  </si>
  <si>
    <t>fredycortes78@gmail.com</t>
  </si>
  <si>
    <t>41642323</t>
  </si>
  <si>
    <t>MERCEDES FORERO DE GOMEZ</t>
  </si>
  <si>
    <t>nathagf@hotmail.com</t>
  </si>
  <si>
    <t>FAIBAGUE10</t>
  </si>
  <si>
    <t>93379192</t>
  </si>
  <si>
    <t>CARLOS ENRIQUE PARRA ORTIZ</t>
  </si>
  <si>
    <t>carlosparra@fedearroz.com.co</t>
  </si>
  <si>
    <t>FALERIDA10</t>
  </si>
  <si>
    <t>FACTURA INVENTARIO</t>
  </si>
  <si>
    <t>2402</t>
  </si>
  <si>
    <t>PTO SERV.LERIDA</t>
  </si>
  <si>
    <t>900180331</t>
  </si>
  <si>
    <t>AGROPECUARIA LA SORIA S.A.S.</t>
  </si>
  <si>
    <t>facturacionsoria@panaca.co</t>
  </si>
  <si>
    <t>FACAMPOALEGRE08</t>
  </si>
  <si>
    <t>2701</t>
  </si>
  <si>
    <t>CAMPOALEGRE</t>
  </si>
  <si>
    <t>36346032</t>
  </si>
  <si>
    <t>MARISOL ROJAS CHAMBO .</t>
  </si>
  <si>
    <t>supermercado_superlisto@hotmail.com</t>
  </si>
  <si>
    <t>83093483</t>
  </si>
  <si>
    <t>HENRY BADILLO SANCHEZ</t>
  </si>
  <si>
    <t>autoserviciocampoalegre1@hotmail.com</t>
  </si>
  <si>
    <t>36089712</t>
  </si>
  <si>
    <t>DIVA GARCIA SANTOS</t>
  </si>
  <si>
    <t>evelyam09@gmail.com</t>
  </si>
  <si>
    <t>4894474</t>
  </si>
  <si>
    <t>ULISES BERMUDEZ ORTIZ</t>
  </si>
  <si>
    <t>supermercado_estrella_roja@hotmail.com</t>
  </si>
  <si>
    <t>2501</t>
  </si>
  <si>
    <t>SALDANA</t>
  </si>
  <si>
    <t>900139215</t>
  </si>
  <si>
    <t>AGROPECUARIA LEMAYA .</t>
  </si>
  <si>
    <t>contador.companias@outlook.com</t>
  </si>
  <si>
    <t>FAVALLEDUP12</t>
  </si>
  <si>
    <t>4201</t>
  </si>
  <si>
    <t>VALLEDUPAR</t>
  </si>
  <si>
    <t>1065634895</t>
  </si>
  <si>
    <t>JORGE LUIS LUNA ZABALETA</t>
  </si>
  <si>
    <t>lunazabaletajorgeluis22@gmail.com</t>
  </si>
  <si>
    <t>FASALDANA21</t>
  </si>
  <si>
    <t>900130552</t>
  </si>
  <si>
    <t>SICOSECHO SAS BIC .</t>
  </si>
  <si>
    <t>logistica@sicosecho.com</t>
  </si>
  <si>
    <t>Fanechi02</t>
  </si>
  <si>
    <t>5302</t>
  </si>
  <si>
    <t>PTO SERV.NECHI</t>
  </si>
  <si>
    <t>8052423</t>
  </si>
  <si>
    <t>JUAN CAMILO GUERRA ROMERO</t>
  </si>
  <si>
    <t>camiloguerra8052@gmail.com</t>
  </si>
  <si>
    <t>93040108</t>
  </si>
  <si>
    <t>JAIRO ANTONIO MONSALVE</t>
  </si>
  <si>
    <t>saramonsalve16@gmail.com</t>
  </si>
  <si>
    <t>FAGRANADA02</t>
  </si>
  <si>
    <t>3401</t>
  </si>
  <si>
    <t>GRANADA</t>
  </si>
  <si>
    <t>57446876</t>
  </si>
  <si>
    <t>ANA MATILDE.OROZCO PAEZ</t>
  </si>
  <si>
    <t>omarcantillo0123@hotmail.com</t>
  </si>
  <si>
    <t>FAFUNDACIO07</t>
  </si>
  <si>
    <t>4301</t>
  </si>
  <si>
    <t>FUNDACION</t>
  </si>
  <si>
    <t>80418560</t>
  </si>
  <si>
    <t>FELIPE ENRIQUE IBARRA LACOUTURE .</t>
  </si>
  <si>
    <t>contabilidadfelipeibarra@gmail.com</t>
  </si>
  <si>
    <t>65589500</t>
  </si>
  <si>
    <t>ADRIANA JULIETH TAPIERO LOPERA</t>
  </si>
  <si>
    <t>adrijulieth21@yahoo.com</t>
  </si>
  <si>
    <t>FAVENADILLO04</t>
  </si>
  <si>
    <t>2401</t>
  </si>
  <si>
    <t>VENADILLO</t>
  </si>
  <si>
    <t>1106486538</t>
  </si>
  <si>
    <t>HENRY ALEJANDRO ZARATE ROBLES</t>
  </si>
  <si>
    <t>hzarate860@gmail.com</t>
  </si>
  <si>
    <t>52443549</t>
  </si>
  <si>
    <t>SANDRA MILENA VELEZ PEREZ</t>
  </si>
  <si>
    <t>sandramilenavelezperez@gmail.com</t>
  </si>
  <si>
    <t>fabog005</t>
  </si>
  <si>
    <t>2105</t>
  </si>
  <si>
    <t>BOGOTA MI TIENDA</t>
  </si>
  <si>
    <t>5815845</t>
  </si>
  <si>
    <t>JAIR URIBE LONDONO</t>
  </si>
  <si>
    <t>uribejair@gmail.com</t>
  </si>
  <si>
    <t>1109841793</t>
  </si>
  <si>
    <t>OSCAR DARWIN TOLE</t>
  </si>
  <si>
    <t>alejolis_09@hotmail.com</t>
  </si>
  <si>
    <t>2301</t>
  </si>
  <si>
    <t>ESPINAL</t>
  </si>
  <si>
    <t>93122208</t>
  </si>
  <si>
    <t>RAUL BARRIOS ZARTA .</t>
  </si>
  <si>
    <t>raulbarrios33@yahoo.es</t>
  </si>
  <si>
    <t>19611236</t>
  </si>
  <si>
    <t>JORGE LUIS SAADE CORMANE</t>
  </si>
  <si>
    <t>jorgesaadec@hotmail.com</t>
  </si>
  <si>
    <t>900417468</t>
  </si>
  <si>
    <t>AGRO - PORVENIR S.A.S. .</t>
  </si>
  <si>
    <t>agroporvenirsas@hotmail.com</t>
  </si>
  <si>
    <t>901207324</t>
  </si>
  <si>
    <t>PG INVERSIONES SAS..</t>
  </si>
  <si>
    <t>contabilidadarrecifesbogota@gmail.com</t>
  </si>
  <si>
    <t>FAYOPAL21</t>
  </si>
  <si>
    <t>3505</t>
  </si>
  <si>
    <t>YOPAL MI TIENDA</t>
  </si>
  <si>
    <t>901165342</t>
  </si>
  <si>
    <t>AGROINDUSTRIAS CHAPARRO ACOSTA S.A.S.  .</t>
  </si>
  <si>
    <t>agroindustriascha@gmail.com</t>
  </si>
  <si>
    <t>FANEIVA06</t>
  </si>
  <si>
    <t>36304621</t>
  </si>
  <si>
    <t>MARIA EUGENIA GARCIA PULECIO</t>
  </si>
  <si>
    <t>marujita0206@hotmail.com</t>
  </si>
  <si>
    <t>FAGUARANDA04</t>
  </si>
  <si>
    <t>5203</t>
  </si>
  <si>
    <t>PTO SERV. GUARANDA</t>
  </si>
  <si>
    <t>1118824814</t>
  </si>
  <si>
    <t>JOSE ARMANDO GONZALEZ PALENCIA</t>
  </si>
  <si>
    <t>jochegp1604@gmail.com</t>
  </si>
  <si>
    <t>4894867</t>
  </si>
  <si>
    <t>JULIO CESAR CORTES OCHOA</t>
  </si>
  <si>
    <t>julio.cesarcortes@hotmail.es</t>
  </si>
  <si>
    <t>FAFUNDACIO06</t>
  </si>
  <si>
    <t>19600271</t>
  </si>
  <si>
    <t>JOSE GREGORIO NAVARRO ACOSTA</t>
  </si>
  <si>
    <t>jvarro.6@gmail.com</t>
  </si>
  <si>
    <t>93137238</t>
  </si>
  <si>
    <t>JUAN CARLOS BARRIOS OSUNA</t>
  </si>
  <si>
    <t>juancarlosbarriososuna@gmail.com</t>
  </si>
  <si>
    <t>16400510</t>
  </si>
  <si>
    <t>DUVIER GALVIS VALENCIA</t>
  </si>
  <si>
    <t>mariaangel122020@gmail.com</t>
  </si>
  <si>
    <t>FAPLESFED06</t>
  </si>
  <si>
    <t>7950</t>
  </si>
  <si>
    <t>PRODUARROZ ESPINAL</t>
  </si>
  <si>
    <t>900276962</t>
  </si>
  <si>
    <t>D 1 S A S .</t>
  </si>
  <si>
    <t>facturacionelectronica@d1.com.co</t>
  </si>
  <si>
    <t>2702</t>
  </si>
  <si>
    <t>PITALITO</t>
  </si>
  <si>
    <t>15812580</t>
  </si>
  <si>
    <t>JOSE EVER ARBEYO.NOGUERA NOGUERA</t>
  </si>
  <si>
    <t>fruverdelc@gmail.com</t>
  </si>
  <si>
    <t>FAVILLAVIC14</t>
  </si>
  <si>
    <t>3104</t>
  </si>
  <si>
    <t>MI TIENDA DEL ARROZ MOLINO PUERTO LOPEZ</t>
  </si>
  <si>
    <t>900480569</t>
  </si>
  <si>
    <t>JERONIMO MARTINS COLOMBIA SAS .</t>
  </si>
  <si>
    <t>recepcion.facturas@jeronimo-martins.co</t>
  </si>
  <si>
    <t>Fabog004</t>
  </si>
  <si>
    <t>2106</t>
  </si>
  <si>
    <t>BOGOTA LUCEROS MI TIENDA</t>
  </si>
  <si>
    <t>901143367</t>
  </si>
  <si>
    <t>SEXTO RESTAURANTE SAS .</t>
  </si>
  <si>
    <t>facturacion.sextosas@gmail.com</t>
  </si>
  <si>
    <t>901284857</t>
  </si>
  <si>
    <t>AGROALDANA AAA S.A.S.</t>
  </si>
  <si>
    <t>agroaldana2019@gmail.com</t>
  </si>
  <si>
    <t>93344173</t>
  </si>
  <si>
    <t>ALVARO PERDOMO CAPERA</t>
  </si>
  <si>
    <t>alvarop1467@gmail.com</t>
  </si>
  <si>
    <t>FAPLPFED32</t>
  </si>
  <si>
    <t>7250</t>
  </si>
  <si>
    <t>PRODUARROZ PORE</t>
  </si>
  <si>
    <t>901725814</t>
  </si>
  <si>
    <t>GESCO ALIMENTOS 1A S.A.S .</t>
  </si>
  <si>
    <t>sandramorales1709@gmail.com</t>
  </si>
  <si>
    <t>35330829</t>
  </si>
  <si>
    <t>RUTH MARTHA GARCIA COBOS</t>
  </si>
  <si>
    <t>martha1961233@hotmail.com</t>
  </si>
  <si>
    <t>41654295</t>
  </si>
  <si>
    <t>ALCIRA CORTE BELTRAN</t>
  </si>
  <si>
    <t>alciracortebeltran57@gmail.com</t>
  </si>
  <si>
    <t>1016109333</t>
  </si>
  <si>
    <t>DIANA CAROLINA MONTAÑO</t>
  </si>
  <si>
    <t>karito0407@hotmail.es</t>
  </si>
  <si>
    <t>901586388</t>
  </si>
  <si>
    <t>AGROGAB MF S.A.S. .</t>
  </si>
  <si>
    <t>vidagrosas@gmail.com</t>
  </si>
  <si>
    <t>52738782</t>
  </si>
  <si>
    <t>ADRIANA CRISTINA VILLAMIL VILLAMIL</t>
  </si>
  <si>
    <t>adri5298@hotmail.com</t>
  </si>
  <si>
    <t>FAVILLAVIC03</t>
  </si>
  <si>
    <t>3101</t>
  </si>
  <si>
    <t>VILLAVICENCIO</t>
  </si>
  <si>
    <t>79576982</t>
  </si>
  <si>
    <t>GERMAN ENRIQUE CASTRO MEDINA .</t>
  </si>
  <si>
    <t>gercas1@hotmail.com</t>
  </si>
  <si>
    <t>3201</t>
  </si>
  <si>
    <t>ACACIAS</t>
  </si>
  <si>
    <t>91301135</t>
  </si>
  <si>
    <t>LUIS ARTURO QUITIAN PINEDA .</t>
  </si>
  <si>
    <t>facturaslaquitian@gmail.com</t>
  </si>
  <si>
    <t>FAESPINAL03</t>
  </si>
  <si>
    <t>65701261</t>
  </si>
  <si>
    <t>NIDIA CARVAJAL OZUNA</t>
  </si>
  <si>
    <t>droli666@hotmail.com</t>
  </si>
  <si>
    <t>11228149</t>
  </si>
  <si>
    <t>DIEGO ALEJANDRO MONTEALEGRE GALINDO .</t>
  </si>
  <si>
    <t>dialmoga@yahoo.com</t>
  </si>
  <si>
    <t>93084803</t>
  </si>
  <si>
    <t>JAIRO RIVERA SUAREZ .</t>
  </si>
  <si>
    <t>jrisu@hotmail.com</t>
  </si>
  <si>
    <t>NOTA DEBITO</t>
  </si>
  <si>
    <t>NOTADEB</t>
  </si>
  <si>
    <t>1079534582</t>
  </si>
  <si>
    <t>LISETH DAYANA SANTANILLA MENDEZ .</t>
  </si>
  <si>
    <t>santanillamendezliseth7@gmail.com</t>
  </si>
  <si>
    <t>Total</t>
  </si>
  <si>
    <t>USUARIO</t>
  </si>
  <si>
    <t>AUD_UFAC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</si>
  <si>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</si>
  <si>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</si>
  <si>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</si>
  <si>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</si>
  <si>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</si>
  <si>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</si>
  <si>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</si>
  <si>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</si>
  <si>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</si>
  <si>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</si>
  <si>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CXC_NUME</t>
  </si>
  <si>
    <t>AÑO</t>
  </si>
  <si>
    <t>MES</t>
  </si>
  <si>
    <t>NIT</t>
  </si>
  <si>
    <t>NOMBRE</t>
  </si>
  <si>
    <t>EMAIL</t>
  </si>
  <si>
    <t>ERROR</t>
  </si>
  <si>
    <t>Código de error: 400 Solicitud incorrecta. 2000 Validating: Reintente nuevamente. El documento aun se encuentra en estado validación (VALIDATING).</t>
  </si>
  <si>
    <t xml:space="preserve">Código de error: &lt;html&gt;  &lt;head&gt;&lt;title&gt;504 Gateway Time-out&lt;/title&gt;&lt;/head&gt;  &lt;body&gt;  &lt;center&gt;&lt;h1&gt;504 Gateway Time-out&lt;/h1&gt;&lt;/center&gt;  &lt;hr&gt;&lt;center&gt;Microsoft-Azure-Application-Gateway/v2&lt;/center&gt;  &lt;/body&gt;  &lt;/html&gt;  </t>
  </si>
  <si>
    <t>Código de error: {"maximumSeverityCode":"Error","eventItems":[{"errorCode":2000,"severityCode":"Error","shortDescription":"Protocol: The content type text/html of the response message does not match the content type of the binding (application/soap+xml; charset=utf-8). If using a custom encoder, be sure that the IsContentTypeSupported method is implemented properly. The first 146 bytes of the response were: '?&lt;!DOCTYPE html&gt;\r\n&lt;html&gt;\r\n&lt;head&gt;\r\n    &lt;meta charset=\"utf-8\" /&gt;\r\n    &lt;title&gt;Dian&lt;/title&gt;\r\n&lt;/head&gt;\r\n&lt;body&gt;\r\n    &lt;div&gt;Error&lt;/div&gt;\r\n&lt;/body&gt;\r\n&lt;/html&gt;'."}]}</t>
  </si>
  <si>
    <t>Código de error: {"maximumSeverityCode":"Error","eventItems":[{"errorCode":2000,"severityCode":"Error","shortDescription":"Web: The remote server returned an error: (429) Too Many Requests. | Protocol: The remote server returned an unexpected response: (429) Too Many Requests."}]}</t>
  </si>
  <si>
    <t>FEDEARROZ</t>
  </si>
  <si>
    <t>Facturación Electrónica Errores Emisión</t>
  </si>
  <si>
    <t>Corte:  [Desde 2024/05/01 - Hasta 2025/01/09]</t>
  </si>
  <si>
    <t>Fecha y Hora de Generación:  [ 20250109_1200 ]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</si>
</sst>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7" x14ac:knownFonts="1">
    <font>
      <sz val="10"/>
      <name val="Arial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7D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49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0" fontId="1" fillId="0" borderId="0" xfId="0" applyFont="1" applyAlignment="1">
      <alignment wrapText="1"/>
    </xf>
    <xf numFmtId="49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7" fontId="2" fillId="2" borderId="1" xfId="0" applyNumberFormat="1" applyFont="1" applyFill="1" applyBorder="1" applyAlignment="1">
      <alignment horizontal="center"/>
    </xf>
    <xf numFmtId="0" fontId="1" fillId="0" borderId="0" xfId="0" applyNumberFormat="1" applyFont="1"/>
    <xf numFmtId="49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0" fontId="3" fillId="0" borderId="0" xfId="0" applyFont="1"/>
    <xf numFmtId="167" fontId="3" fillId="0" borderId="0" xfId="0" applyNumberFormat="1" applyFont="1"/>
    <xf numFmtId="49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0" fontId="4" fillId="0" borderId="0" xfId="0" applyFont="1"/>
    <xf numFmtId="167" fontId="4" fillId="0" borderId="0" xfId="0" applyNumberFormat="1" applyFont="1"/>
    <xf numFmtId="49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0" fontId="5" fillId="0" borderId="0" xfId="0" applyFont="1"/>
    <xf numFmtId="167" fontId="5" fillId="0" borderId="0" xfId="0" applyNumberFormat="1" applyFont="1"/>
    <xf numFmtId="49" fontId="6" fillId="0" borderId="0" xfId="0" applyNumberFormat="1" applyFont="1"/>
    <xf numFmtId="165" fontId="6" fillId="0" borderId="0" xfId="0" applyNumberFormat="1" applyFont="1"/>
    <xf numFmtId="166" fontId="6" fillId="0" borderId="0" xfId="0" applyNumberFormat="1" applyFont="1"/>
    <xf numFmtId="0" fontId="6" fillId="0" borderId="0" xfId="0" applyFont="1"/>
    <xf numFmtId="167" fontId="6" fillId="0" borderId="0" xfId="0" applyNumberFormat="1" applyFont="1"/>
  </cellXfs>
  <cellStyles count="1">
    <cellStyle name="Normal" xfId="0" builtinId="0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365125</xdr:colOff>
      <xdr:row>0</xdr:row>
      <xdr:rowOff>25400</xdr:rowOff>
    </xdr:from>
    <xdr:to>
      <xdr:col>10</xdr:col>
      <xdr:colOff>1327150</xdr:colOff>
      <xdr:row>8</xdr:row>
      <xdr:rowOff>98425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SUCURSAL">
              <a:extLst>
                <a:ext uri="{FF2B5EF4-FFF2-40B4-BE49-F238E27FC236}">
                  <a16:creationId xmlns:a16="http://schemas.microsoft.com/office/drawing/2014/main" id="{C98A09FF-AAC1-01B1-0D02-4180C8FB59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CURS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56000" y="25400"/>
              <a:ext cx="11430000" cy="139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UCURSAL" xr10:uid="{C8BEFE53-AC81-40E4-8C47-772D5E576765}" sourceName="SUCURSAL">
  <extLst>
    <x:ext xmlns:x15="http://schemas.microsoft.com/office/spreadsheetml/2010/11/main" uri="{2F2917AC-EB37-4324-AD4E-5DD8C200BD13}">
      <x15:tableSlicerCache tableId="1" column="10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CURSAL" xr10:uid="{30807D90-5C91-4855-B21A-0F5616FEF9EC}" cache="SegmentaciónDeDatos_SUCURSAL" caption="Seleccione la SUCURSAL" columnCount="12" style="SlicerStyleOther1" rowHeight="22542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051C6E-45A1-4F9A-A6E9-EC48E8BD34AC}" name="Errores_Emision" displayName="Errores_Emision" ref="A10:S75" totalsRowCount="1" headerRowDxfId="3" dataDxfId="42" totalsRowDxfId="43" headerRowBorderDxfId="4">
  <autoFilter ref="A10:S74" xr:uid="{7C051C6E-45A1-4F9A-A6E9-EC48E8BD34AC}"/>
  <tableColumns count="19">
    <tableColumn id="1" xr3:uid="{281E2131-E458-4830-B608-BD686106D4B5}" name="USUARIO" totalsRowLabel="Total" dataDxfId="36" totalsRowDxfId="37"/>
    <tableColumn id="2" xr3:uid="{A7ECE501-E9F6-4D34-A789-7CF6A8AB3DE3}" name="AUD_UFAC" dataDxfId="34" totalsRowDxfId="35"/>
    <tableColumn id="3" xr3:uid="{4EA17FA1-FAEA-4CEC-8E28-75D264FB9BE3}" name="FECH_APLICA" dataDxfId="33" totalsRowDxfId="32"/>
    <tableColumn id="4" xr3:uid="{0CC2B0FF-28E2-4056-9F00-9880383A8912}" name="DOCUMENTO" dataDxfId="31" totalsRowDxfId="41"/>
    <tableColumn id="5" xr3:uid="{A24A265C-E3D4-4ED2-945E-04B7E5BC6EFE}" name="FECH_DOCUMENTO" dataDxfId="29" totalsRowDxfId="30"/>
    <tableColumn id="6" xr3:uid="{739843AB-3749-46E6-816A-8EF237A95D0E}" name="FAC_VLR_TOTAL" dataDxfId="28" totalsRowDxfId="27"/>
    <tableColumn id="7" xr3:uid="{21113A22-5036-4436-BE4E-6AF52EE80273}" name="COD_TIPO_OPERAC" dataDxfId="26" totalsRowDxfId="40"/>
    <tableColumn id="8" xr3:uid="{8B564B18-1D1B-448F-9A0F-52D58A337D6D}" name="TIPO_OPERAC" dataDxfId="24" totalsRowDxfId="25"/>
    <tableColumn id="9" xr3:uid="{81840966-6C74-4E0F-A8AC-230F3DA93A96}" name="COD_SUCUR" dataDxfId="22" totalsRowDxfId="23"/>
    <tableColumn id="10" xr3:uid="{7041B4CD-C809-45C3-BEF3-6785C6A12E52}" name="SUCURSAL" dataDxfId="20" totalsRowDxfId="21"/>
    <tableColumn id="11" xr3:uid="{48FBE4C4-2975-4C2A-97EA-1AEDAB83B1B6}" name="TIPO_DOCUMENTO" dataDxfId="18" totalsRowDxfId="19"/>
    <tableColumn id="12" xr3:uid="{CA6C80F4-3930-4BE8-A762-9300823CB090}" name="FECH_FACTURA" dataDxfId="17" totalsRowDxfId="16"/>
    <tableColumn id="13" xr3:uid="{68FA8F94-F6D0-49D2-A7DF-1C0EF2ED482D}" name="CXC_NUME" dataDxfId="15" totalsRowDxfId="39"/>
    <tableColumn id="14" xr3:uid="{93EE0638-3062-4FB2-8939-11B439968309}" name="AÑO" dataDxfId="13" totalsRowDxfId="14"/>
    <tableColumn id="15" xr3:uid="{925029BB-B414-45F4-B7BE-0B0D8DB9E93E}" name="MES" dataDxfId="11" totalsRowDxfId="12"/>
    <tableColumn id="16" xr3:uid="{0A55794B-4B57-40F0-A6A3-2E41C80C85FB}" name="NIT" dataDxfId="9" totalsRowDxfId="10"/>
    <tableColumn id="17" xr3:uid="{2BBA7A72-3C83-4FA0-8D8B-057A6177AC26}" name="NOMBRE" dataDxfId="7" totalsRowDxfId="8"/>
    <tableColumn id="18" xr3:uid="{78A40C8D-1CD5-4831-BFEA-81BCA520F905}" name="EMAIL" totalsRowFunction="count" dataDxfId="5" totalsRowDxfId="2"/>
    <tableColumn id="19" xr3:uid="{35700524-E290-45B1-8207-57CFDA5ED80B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5C8C-A184-4E0B-9D64-FE700343D5DF}">
  <sheetPr>
    <tabColor rgb="FF92D050"/>
  </sheetPr>
  <dimension ref="A1:S75"/>
  <sheetViews>
    <sheetView showGridLines="0" tabSelected="1" workbookViewId="0"/>
  </sheetViews>
  <sheetFormatPr baseColWidth="10" defaultRowHeight="11.25" x14ac:dyDescent="0.2"/>
  <cols>
    <col min="1" max="1" width="16.7109375" style="2" bestFit="1" customWidth="1"/>
    <col min="2" max="2" width="15.140625" style="3" bestFit="1" customWidth="1"/>
    <col min="3" max="3" width="16" style="4" bestFit="1" customWidth="1"/>
    <col min="4" max="4" width="15.42578125" style="1" bestFit="1" customWidth="1"/>
    <col min="5" max="5" width="20.7109375" style="4" bestFit="1" customWidth="1"/>
    <col min="6" max="6" width="18.28515625" style="5" bestFit="1" customWidth="1"/>
    <col min="7" max="7" width="21.140625" style="1" bestFit="1" customWidth="1"/>
    <col min="8" max="8" width="27.42578125" style="2" bestFit="1" customWidth="1"/>
    <col min="9" max="9" width="15.140625" style="2" bestFit="1" customWidth="1"/>
    <col min="10" max="10" width="38.85546875" style="2" bestFit="1" customWidth="1"/>
    <col min="11" max="11" width="20.28515625" style="2" bestFit="1" customWidth="1"/>
    <col min="12" max="12" width="17.42578125" style="4" bestFit="1" customWidth="1"/>
    <col min="13" max="13" width="13.7109375" style="1" bestFit="1" customWidth="1"/>
    <col min="14" max="14" width="8.42578125" style="2" bestFit="1" customWidth="1"/>
    <col min="15" max="15" width="8" style="2" bestFit="1" customWidth="1"/>
    <col min="16" max="16" width="9.5703125" style="2" bestFit="1" customWidth="1"/>
    <col min="17" max="17" width="37.140625" style="2" bestFit="1" customWidth="1"/>
    <col min="18" max="18" width="29.28515625" style="2" bestFit="1" customWidth="1"/>
    <col min="19" max="19" width="100.7109375" style="1" customWidth="1"/>
    <col min="20" max="16384" width="11.42578125" style="1"/>
  </cols>
  <sheetData>
    <row r="1" spans="1:19" s="16" customFormat="1" ht="16.5" x14ac:dyDescent="0.25">
      <c r="A1" s="13" t="s">
        <v>274</v>
      </c>
      <c r="B1" s="14"/>
      <c r="C1" s="15"/>
      <c r="E1" s="15"/>
      <c r="F1" s="17"/>
      <c r="H1" s="13"/>
      <c r="I1" s="13"/>
      <c r="J1" s="13"/>
      <c r="K1" s="13"/>
      <c r="L1" s="15"/>
      <c r="N1" s="13"/>
      <c r="O1" s="13"/>
      <c r="P1" s="13"/>
      <c r="Q1" s="13"/>
      <c r="R1" s="13"/>
    </row>
    <row r="2" spans="1:19" s="21" customFormat="1" ht="15.75" x14ac:dyDescent="0.25">
      <c r="A2" s="18" t="s">
        <v>275</v>
      </c>
      <c r="B2" s="19"/>
      <c r="C2" s="20"/>
      <c r="E2" s="20"/>
      <c r="F2" s="22"/>
      <c r="H2" s="18"/>
      <c r="I2" s="18"/>
      <c r="J2" s="18"/>
      <c r="K2" s="18"/>
      <c r="L2" s="20"/>
      <c r="N2" s="18"/>
      <c r="O2" s="18"/>
      <c r="P2" s="18"/>
      <c r="Q2" s="18"/>
      <c r="R2" s="18"/>
    </row>
    <row r="3" spans="1:19" s="26" customFormat="1" ht="14.25" x14ac:dyDescent="0.2">
      <c r="A3" s="23" t="s">
        <v>276</v>
      </c>
      <c r="B3" s="24"/>
      <c r="C3" s="25"/>
      <c r="E3" s="25"/>
      <c r="F3" s="27"/>
      <c r="H3" s="23"/>
      <c r="I3" s="23"/>
      <c r="J3" s="23"/>
      <c r="K3" s="23"/>
      <c r="L3" s="25"/>
      <c r="N3" s="23"/>
      <c r="O3" s="23"/>
      <c r="P3" s="23"/>
      <c r="Q3" s="23"/>
      <c r="R3" s="23"/>
    </row>
    <row r="4" spans="1:19" s="31" customFormat="1" ht="12.75" x14ac:dyDescent="0.2">
      <c r="A4" s="28" t="s">
        <v>277</v>
      </c>
      <c r="B4" s="29"/>
      <c r="C4" s="30"/>
      <c r="E4" s="30"/>
      <c r="F4" s="32"/>
      <c r="H4" s="28"/>
      <c r="I4" s="28"/>
      <c r="J4" s="28"/>
      <c r="K4" s="28"/>
      <c r="L4" s="30"/>
      <c r="N4" s="28"/>
      <c r="O4" s="28"/>
      <c r="P4" s="28"/>
      <c r="Q4" s="28"/>
      <c r="R4" s="28"/>
    </row>
    <row r="9" spans="1:19" ht="12" thickBot="1" x14ac:dyDescent="0.25"/>
    <row r="10" spans="1:19" ht="12" thickBot="1" x14ac:dyDescent="0.25">
      <c r="A10" s="7" t="s">
        <v>251</v>
      </c>
      <c r="B10" s="8" t="s">
        <v>252</v>
      </c>
      <c r="C10" s="9" t="s">
        <v>253</v>
      </c>
      <c r="D10" s="10" t="s">
        <v>254</v>
      </c>
      <c r="E10" s="9" t="s">
        <v>255</v>
      </c>
      <c r="F10" s="11" t="s">
        <v>256</v>
      </c>
      <c r="G10" s="10" t="s">
        <v>257</v>
      </c>
      <c r="H10" s="7" t="s">
        <v>258</v>
      </c>
      <c r="I10" s="7" t="s">
        <v>259</v>
      </c>
      <c r="J10" s="7" t="s">
        <v>260</v>
      </c>
      <c r="K10" s="7" t="s">
        <v>261</v>
      </c>
      <c r="L10" s="9" t="s">
        <v>262</v>
      </c>
      <c r="M10" s="10" t="s">
        <v>263</v>
      </c>
      <c r="N10" s="7" t="s">
        <v>264</v>
      </c>
      <c r="O10" s="7" t="s">
        <v>265</v>
      </c>
      <c r="P10" s="7" t="s">
        <v>266</v>
      </c>
      <c r="Q10" s="7" t="s">
        <v>267</v>
      </c>
      <c r="R10" s="7" t="s">
        <v>268</v>
      </c>
      <c r="S10" s="10" t="s">
        <v>269</v>
      </c>
    </row>
    <row r="11" spans="1:19" ht="22.5" x14ac:dyDescent="0.2">
      <c r="A11" s="2" t="s">
        <v>0</v>
      </c>
      <c r="B11" s="3">
        <v>45666.451134259347</v>
      </c>
      <c r="C11" s="4">
        <v>45666</v>
      </c>
      <c r="D11" s="1">
        <v>48531</v>
      </c>
      <c r="E11" s="4">
        <v>45666</v>
      </c>
      <c r="F11" s="5">
        <v>58950</v>
      </c>
      <c r="G11" s="1">
        <v>3550</v>
      </c>
      <c r="H11" s="2" t="s">
        <v>1</v>
      </c>
      <c r="I11" s="2" t="s">
        <v>2</v>
      </c>
      <c r="J11" s="2" t="s">
        <v>3</v>
      </c>
      <c r="K11" s="2" t="s">
        <v>4</v>
      </c>
      <c r="L11" s="4">
        <v>45666</v>
      </c>
      <c r="M11" s="1">
        <v>48531</v>
      </c>
      <c r="N11" s="2" t="s">
        <v>5</v>
      </c>
      <c r="O11" s="2" t="s">
        <v>6</v>
      </c>
      <c r="P11" s="2" t="s">
        <v>7</v>
      </c>
      <c r="Q11" s="2" t="s">
        <v>8</v>
      </c>
      <c r="R11" s="2" t="s">
        <v>9</v>
      </c>
      <c r="S11" s="6" t="s">
        <v>270</v>
      </c>
    </row>
    <row r="12" spans="1:19" ht="22.5" x14ac:dyDescent="0.2">
      <c r="A12" s="2" t="s">
        <v>10</v>
      </c>
      <c r="B12" s="3">
        <v>45666.452557859011</v>
      </c>
      <c r="C12" s="4">
        <v>45666</v>
      </c>
      <c r="D12" s="1">
        <v>25602</v>
      </c>
      <c r="E12" s="4">
        <v>45666</v>
      </c>
      <c r="F12" s="5">
        <v>79732</v>
      </c>
      <c r="G12" s="1">
        <v>3550</v>
      </c>
      <c r="H12" s="2" t="s">
        <v>1</v>
      </c>
      <c r="I12" s="2" t="s">
        <v>11</v>
      </c>
      <c r="J12" s="2" t="s">
        <v>12</v>
      </c>
      <c r="K12" s="2" t="s">
        <v>4</v>
      </c>
      <c r="L12" s="4">
        <v>45666</v>
      </c>
      <c r="M12" s="1">
        <v>25602</v>
      </c>
      <c r="N12" s="2" t="s">
        <v>5</v>
      </c>
      <c r="O12" s="2" t="s">
        <v>6</v>
      </c>
      <c r="P12" s="2" t="s">
        <v>13</v>
      </c>
      <c r="Q12" s="2" t="s">
        <v>14</v>
      </c>
      <c r="R12" s="2" t="s">
        <v>15</v>
      </c>
      <c r="S12" s="6" t="s">
        <v>271</v>
      </c>
    </row>
    <row r="13" spans="1:19" ht="22.5" x14ac:dyDescent="0.2">
      <c r="A13" s="2" t="s">
        <v>16</v>
      </c>
      <c r="B13" s="3">
        <v>45666.451122685336</v>
      </c>
      <c r="C13" s="4">
        <v>45666</v>
      </c>
      <c r="D13" s="1">
        <v>6461</v>
      </c>
      <c r="E13" s="4">
        <v>45666</v>
      </c>
      <c r="F13" s="5">
        <v>15000</v>
      </c>
      <c r="G13" s="1">
        <v>3550</v>
      </c>
      <c r="H13" s="2" t="s">
        <v>1</v>
      </c>
      <c r="I13" s="2" t="s">
        <v>17</v>
      </c>
      <c r="J13" s="2" t="s">
        <v>18</v>
      </c>
      <c r="K13" s="2" t="s">
        <v>4</v>
      </c>
      <c r="L13" s="4">
        <v>45666</v>
      </c>
      <c r="M13" s="1">
        <v>6461</v>
      </c>
      <c r="N13" s="2" t="s">
        <v>5</v>
      </c>
      <c r="O13" s="2" t="s">
        <v>6</v>
      </c>
      <c r="P13" s="2" t="s">
        <v>19</v>
      </c>
      <c r="Q13" s="2" t="s">
        <v>20</v>
      </c>
      <c r="R13" s="2" t="s">
        <v>21</v>
      </c>
      <c r="S13" s="6" t="s">
        <v>270</v>
      </c>
    </row>
    <row r="14" spans="1:19" ht="22.5" x14ac:dyDescent="0.2">
      <c r="A14" s="2" t="s">
        <v>16</v>
      </c>
      <c r="B14" s="3">
        <v>45666.452534710523</v>
      </c>
      <c r="C14" s="4">
        <v>45666</v>
      </c>
      <c r="D14" s="1">
        <v>6462</v>
      </c>
      <c r="E14" s="4">
        <v>45666</v>
      </c>
      <c r="F14" s="5">
        <v>50000</v>
      </c>
      <c r="G14" s="1">
        <v>3550</v>
      </c>
      <c r="H14" s="2" t="s">
        <v>1</v>
      </c>
      <c r="I14" s="2" t="s">
        <v>17</v>
      </c>
      <c r="J14" s="2" t="s">
        <v>18</v>
      </c>
      <c r="K14" s="2" t="s">
        <v>4</v>
      </c>
      <c r="L14" s="4">
        <v>45666</v>
      </c>
      <c r="M14" s="1">
        <v>6462</v>
      </c>
      <c r="N14" s="2" t="s">
        <v>5</v>
      </c>
      <c r="O14" s="2" t="s">
        <v>6</v>
      </c>
      <c r="P14" s="2" t="s">
        <v>22</v>
      </c>
      <c r="Q14" s="2" t="s">
        <v>23</v>
      </c>
      <c r="R14" s="2" t="s">
        <v>24</v>
      </c>
      <c r="S14" s="6" t="s">
        <v>271</v>
      </c>
    </row>
    <row r="15" spans="1:19" ht="22.5" x14ac:dyDescent="0.2">
      <c r="A15" s="2" t="s">
        <v>16</v>
      </c>
      <c r="B15" s="3">
        <v>45666.451134259347</v>
      </c>
      <c r="C15" s="4">
        <v>45666</v>
      </c>
      <c r="D15" s="1">
        <v>6463</v>
      </c>
      <c r="E15" s="4">
        <v>45666</v>
      </c>
      <c r="F15" s="5">
        <v>52500</v>
      </c>
      <c r="G15" s="1">
        <v>3550</v>
      </c>
      <c r="H15" s="2" t="s">
        <v>1</v>
      </c>
      <c r="I15" s="2" t="s">
        <v>17</v>
      </c>
      <c r="J15" s="2" t="s">
        <v>18</v>
      </c>
      <c r="K15" s="2" t="s">
        <v>4</v>
      </c>
      <c r="L15" s="4">
        <v>45666</v>
      </c>
      <c r="M15" s="1">
        <v>6463</v>
      </c>
      <c r="N15" s="2" t="s">
        <v>5</v>
      </c>
      <c r="O15" s="2" t="s">
        <v>6</v>
      </c>
      <c r="P15" s="2" t="s">
        <v>25</v>
      </c>
      <c r="Q15" s="2" t="s">
        <v>26</v>
      </c>
      <c r="R15" s="2" t="s">
        <v>27</v>
      </c>
      <c r="S15" s="6" t="s">
        <v>270</v>
      </c>
    </row>
    <row r="16" spans="1:19" ht="22.5" x14ac:dyDescent="0.2">
      <c r="A16" s="2" t="s">
        <v>16</v>
      </c>
      <c r="B16" s="3">
        <v>45666.452557859011</v>
      </c>
      <c r="C16" s="4">
        <v>45666</v>
      </c>
      <c r="D16" s="1">
        <v>6464</v>
      </c>
      <c r="E16" s="4">
        <v>45666</v>
      </c>
      <c r="F16" s="5">
        <v>50000</v>
      </c>
      <c r="G16" s="1">
        <v>3550</v>
      </c>
      <c r="H16" s="2" t="s">
        <v>1</v>
      </c>
      <c r="I16" s="2" t="s">
        <v>17</v>
      </c>
      <c r="J16" s="2" t="s">
        <v>18</v>
      </c>
      <c r="K16" s="2" t="s">
        <v>4</v>
      </c>
      <c r="L16" s="4">
        <v>45666</v>
      </c>
      <c r="M16" s="1">
        <v>6464</v>
      </c>
      <c r="N16" s="2" t="s">
        <v>5</v>
      </c>
      <c r="O16" s="2" t="s">
        <v>6</v>
      </c>
      <c r="P16" s="2" t="s">
        <v>28</v>
      </c>
      <c r="Q16" s="2" t="s">
        <v>29</v>
      </c>
      <c r="R16" s="2" t="s">
        <v>30</v>
      </c>
      <c r="S16" s="6" t="s">
        <v>271</v>
      </c>
    </row>
    <row r="17" spans="1:19" ht="56.25" x14ac:dyDescent="0.2">
      <c r="A17" s="2" t="s">
        <v>16</v>
      </c>
      <c r="B17" s="3">
        <v>45666.452083333395</v>
      </c>
      <c r="C17" s="4">
        <v>45666</v>
      </c>
      <c r="D17" s="1">
        <v>6465</v>
      </c>
      <c r="E17" s="4">
        <v>45666</v>
      </c>
      <c r="F17" s="5">
        <v>12500</v>
      </c>
      <c r="G17" s="1">
        <v>3550</v>
      </c>
      <c r="H17" s="2" t="s">
        <v>1</v>
      </c>
      <c r="I17" s="2" t="s">
        <v>17</v>
      </c>
      <c r="J17" s="2" t="s">
        <v>18</v>
      </c>
      <c r="K17" s="2" t="s">
        <v>4</v>
      </c>
      <c r="L17" s="4">
        <v>45666</v>
      </c>
      <c r="M17" s="1">
        <v>6465</v>
      </c>
      <c r="N17" s="2" t="s">
        <v>5</v>
      </c>
      <c r="O17" s="2" t="s">
        <v>6</v>
      </c>
      <c r="P17" s="2" t="s">
        <v>31</v>
      </c>
      <c r="Q17" s="2" t="s">
        <v>32</v>
      </c>
      <c r="R17" s="2" t="s">
        <v>33</v>
      </c>
      <c r="S17" s="6" t="s">
        <v>272</v>
      </c>
    </row>
    <row r="18" spans="1:19" ht="33.75" x14ac:dyDescent="0.2">
      <c r="A18" s="2" t="s">
        <v>34</v>
      </c>
      <c r="B18" s="3">
        <v>45666.456840266008</v>
      </c>
      <c r="C18" s="4">
        <v>45666</v>
      </c>
      <c r="D18" s="1">
        <v>13039</v>
      </c>
      <c r="E18" s="4">
        <v>45666</v>
      </c>
      <c r="F18" s="5">
        <v>285535</v>
      </c>
      <c r="G18" s="1">
        <v>3003</v>
      </c>
      <c r="H18" s="2" t="s">
        <v>35</v>
      </c>
      <c r="I18" s="2" t="s">
        <v>36</v>
      </c>
      <c r="J18" s="2" t="s">
        <v>37</v>
      </c>
      <c r="K18" s="2" t="s">
        <v>38</v>
      </c>
      <c r="L18" s="4">
        <v>45666</v>
      </c>
      <c r="M18" s="1">
        <v>13039</v>
      </c>
      <c r="N18" s="2" t="s">
        <v>5</v>
      </c>
      <c r="O18" s="2" t="s">
        <v>6</v>
      </c>
      <c r="P18" s="2" t="s">
        <v>39</v>
      </c>
      <c r="Q18" s="2" t="s">
        <v>40</v>
      </c>
      <c r="R18" s="2" t="s">
        <v>41</v>
      </c>
      <c r="S18" s="6" t="s">
        <v>273</v>
      </c>
    </row>
    <row r="19" spans="1:19" ht="33.75" x14ac:dyDescent="0.2">
      <c r="A19" s="2" t="s">
        <v>16</v>
      </c>
      <c r="B19" s="3">
        <v>45666.453159710858</v>
      </c>
      <c r="C19" s="4">
        <v>45666</v>
      </c>
      <c r="D19" s="1">
        <v>6466</v>
      </c>
      <c r="E19" s="4">
        <v>45666</v>
      </c>
      <c r="F19" s="5">
        <v>20500</v>
      </c>
      <c r="G19" s="1">
        <v>3550</v>
      </c>
      <c r="H19" s="2" t="s">
        <v>1</v>
      </c>
      <c r="I19" s="2" t="s">
        <v>17</v>
      </c>
      <c r="J19" s="2" t="s">
        <v>18</v>
      </c>
      <c r="K19" s="2" t="s">
        <v>4</v>
      </c>
      <c r="L19" s="4">
        <v>45666</v>
      </c>
      <c r="M19" s="1">
        <v>6466</v>
      </c>
      <c r="N19" s="2" t="s">
        <v>5</v>
      </c>
      <c r="O19" s="2" t="s">
        <v>6</v>
      </c>
      <c r="P19" s="2" t="s">
        <v>42</v>
      </c>
      <c r="Q19" s="2" t="s">
        <v>43</v>
      </c>
      <c r="R19" s="2" t="s">
        <v>44</v>
      </c>
      <c r="S19" s="6" t="s">
        <v>273</v>
      </c>
    </row>
    <row r="20" spans="1:19" ht="22.5" x14ac:dyDescent="0.2">
      <c r="A20" s="2" t="s">
        <v>16</v>
      </c>
      <c r="B20" s="3">
        <v>45666.451134259347</v>
      </c>
      <c r="C20" s="4">
        <v>45666</v>
      </c>
      <c r="D20" s="1">
        <v>6467</v>
      </c>
      <c r="E20" s="4">
        <v>45666</v>
      </c>
      <c r="F20" s="5">
        <v>110500</v>
      </c>
      <c r="G20" s="1">
        <v>3550</v>
      </c>
      <c r="H20" s="2" t="s">
        <v>1</v>
      </c>
      <c r="I20" s="2" t="s">
        <v>17</v>
      </c>
      <c r="J20" s="2" t="s">
        <v>18</v>
      </c>
      <c r="K20" s="2" t="s">
        <v>4</v>
      </c>
      <c r="L20" s="4">
        <v>45666</v>
      </c>
      <c r="M20" s="1">
        <v>6467</v>
      </c>
      <c r="N20" s="2" t="s">
        <v>5</v>
      </c>
      <c r="O20" s="2" t="s">
        <v>6</v>
      </c>
      <c r="P20" s="2" t="s">
        <v>45</v>
      </c>
      <c r="Q20" s="2" t="s">
        <v>46</v>
      </c>
      <c r="R20" s="2" t="s">
        <v>47</v>
      </c>
      <c r="S20" s="6" t="s">
        <v>270</v>
      </c>
    </row>
    <row r="21" spans="1:19" ht="22.5" x14ac:dyDescent="0.2">
      <c r="A21" s="2" t="s">
        <v>48</v>
      </c>
      <c r="B21" s="3">
        <v>45666.451157395728</v>
      </c>
      <c r="C21" s="4">
        <v>45666</v>
      </c>
      <c r="D21" s="1">
        <v>48532</v>
      </c>
      <c r="E21" s="4">
        <v>45666</v>
      </c>
      <c r="F21" s="5">
        <v>98000</v>
      </c>
      <c r="G21" s="1">
        <v>3550</v>
      </c>
      <c r="H21" s="2" t="s">
        <v>1</v>
      </c>
      <c r="I21" s="2" t="s">
        <v>2</v>
      </c>
      <c r="J21" s="2" t="s">
        <v>3</v>
      </c>
      <c r="K21" s="2" t="s">
        <v>4</v>
      </c>
      <c r="L21" s="4">
        <v>45666</v>
      </c>
      <c r="M21" s="1">
        <v>48532</v>
      </c>
      <c r="N21" s="2" t="s">
        <v>5</v>
      </c>
      <c r="O21" s="2" t="s">
        <v>6</v>
      </c>
      <c r="P21" s="2" t="s">
        <v>49</v>
      </c>
      <c r="Q21" s="2" t="s">
        <v>50</v>
      </c>
      <c r="R21" s="2" t="s">
        <v>51</v>
      </c>
      <c r="S21" s="6" t="s">
        <v>270</v>
      </c>
    </row>
    <row r="22" spans="1:19" ht="33.75" x14ac:dyDescent="0.2">
      <c r="A22" s="2" t="s">
        <v>52</v>
      </c>
      <c r="B22" s="3">
        <v>45666.452094895765</v>
      </c>
      <c r="C22" s="4">
        <v>45666</v>
      </c>
      <c r="D22" s="1">
        <v>18485</v>
      </c>
      <c r="E22" s="4">
        <v>45666</v>
      </c>
      <c r="F22" s="5">
        <v>6204514</v>
      </c>
      <c r="G22" s="1">
        <v>3511</v>
      </c>
      <c r="H22" s="2" t="s">
        <v>53</v>
      </c>
      <c r="I22" s="2" t="s">
        <v>54</v>
      </c>
      <c r="J22" s="2" t="s">
        <v>55</v>
      </c>
      <c r="K22" s="2" t="s">
        <v>4</v>
      </c>
      <c r="L22" s="4">
        <v>45666</v>
      </c>
      <c r="M22" s="1">
        <v>18485</v>
      </c>
      <c r="N22" s="2" t="s">
        <v>5</v>
      </c>
      <c r="O22" s="2" t="s">
        <v>6</v>
      </c>
      <c r="P22" s="2" t="s">
        <v>56</v>
      </c>
      <c r="Q22" s="2" t="s">
        <v>57</v>
      </c>
      <c r="R22" s="2" t="s">
        <v>58</v>
      </c>
      <c r="S22" s="6" t="s">
        <v>273</v>
      </c>
    </row>
    <row r="23" spans="1:19" ht="22.5" x14ac:dyDescent="0.2">
      <c r="A23" s="2" t="s">
        <v>59</v>
      </c>
      <c r="B23" s="3">
        <v>45666.452118043788</v>
      </c>
      <c r="C23" s="4">
        <v>45666</v>
      </c>
      <c r="D23" s="1">
        <v>49356</v>
      </c>
      <c r="E23" s="4">
        <v>45666</v>
      </c>
      <c r="F23" s="5">
        <v>4700000</v>
      </c>
      <c r="G23" s="1">
        <v>3511</v>
      </c>
      <c r="H23" s="2" t="s">
        <v>53</v>
      </c>
      <c r="I23" s="2" t="s">
        <v>60</v>
      </c>
      <c r="J23" s="2" t="s">
        <v>61</v>
      </c>
      <c r="K23" s="2" t="s">
        <v>4</v>
      </c>
      <c r="L23" s="4">
        <v>45666</v>
      </c>
      <c r="M23" s="1">
        <v>49356</v>
      </c>
      <c r="N23" s="2" t="s">
        <v>5</v>
      </c>
      <c r="O23" s="2" t="s">
        <v>6</v>
      </c>
      <c r="P23" s="2" t="s">
        <v>62</v>
      </c>
      <c r="Q23" s="2" t="s">
        <v>63</v>
      </c>
      <c r="R23" s="2" t="s">
        <v>64</v>
      </c>
      <c r="S23" s="6" t="s">
        <v>270</v>
      </c>
    </row>
    <row r="24" spans="1:19" ht="33.75" x14ac:dyDescent="0.2">
      <c r="A24" s="2" t="s">
        <v>59</v>
      </c>
      <c r="B24" s="3">
        <v>45666.452071759384</v>
      </c>
      <c r="C24" s="4">
        <v>45666</v>
      </c>
      <c r="D24" s="1">
        <v>49357</v>
      </c>
      <c r="E24" s="4">
        <v>45666</v>
      </c>
      <c r="F24" s="5">
        <v>4700000</v>
      </c>
      <c r="G24" s="1">
        <v>3511</v>
      </c>
      <c r="H24" s="2" t="s">
        <v>53</v>
      </c>
      <c r="I24" s="2" t="s">
        <v>60</v>
      </c>
      <c r="J24" s="2" t="s">
        <v>61</v>
      </c>
      <c r="K24" s="2" t="s">
        <v>4</v>
      </c>
      <c r="L24" s="4">
        <v>45666</v>
      </c>
      <c r="M24" s="1">
        <v>49357</v>
      </c>
      <c r="N24" s="2" t="s">
        <v>5</v>
      </c>
      <c r="O24" s="2" t="s">
        <v>6</v>
      </c>
      <c r="P24" s="2" t="s">
        <v>65</v>
      </c>
      <c r="Q24" s="2" t="s">
        <v>66</v>
      </c>
      <c r="R24" s="2" t="s">
        <v>67</v>
      </c>
      <c r="S24" s="6" t="s">
        <v>273</v>
      </c>
    </row>
    <row r="25" spans="1:19" ht="33.75" x14ac:dyDescent="0.2">
      <c r="A25" s="2" t="s">
        <v>59</v>
      </c>
      <c r="B25" s="3">
        <v>45666.453148136381</v>
      </c>
      <c r="C25" s="4">
        <v>45666</v>
      </c>
      <c r="D25" s="1">
        <v>49358</v>
      </c>
      <c r="E25" s="4">
        <v>45666</v>
      </c>
      <c r="F25" s="5">
        <v>2350000</v>
      </c>
      <c r="G25" s="1">
        <v>3511</v>
      </c>
      <c r="H25" s="2" t="s">
        <v>53</v>
      </c>
      <c r="I25" s="2" t="s">
        <v>60</v>
      </c>
      <c r="J25" s="2" t="s">
        <v>61</v>
      </c>
      <c r="K25" s="2" t="s">
        <v>4</v>
      </c>
      <c r="L25" s="4">
        <v>45666</v>
      </c>
      <c r="M25" s="1">
        <v>49358</v>
      </c>
      <c r="N25" s="2" t="s">
        <v>5</v>
      </c>
      <c r="O25" s="2" t="s">
        <v>6</v>
      </c>
      <c r="P25" s="2" t="s">
        <v>68</v>
      </c>
      <c r="Q25" s="2" t="s">
        <v>69</v>
      </c>
      <c r="R25" s="2" t="s">
        <v>70</v>
      </c>
      <c r="S25" s="6" t="s">
        <v>273</v>
      </c>
    </row>
    <row r="26" spans="1:19" ht="22.5" x14ac:dyDescent="0.2">
      <c r="A26" s="2" t="s">
        <v>52</v>
      </c>
      <c r="B26" s="3">
        <v>45666.452523148153</v>
      </c>
      <c r="C26" s="4">
        <v>45666</v>
      </c>
      <c r="D26" s="1">
        <v>18486</v>
      </c>
      <c r="E26" s="4">
        <v>45666</v>
      </c>
      <c r="F26" s="5">
        <v>6204514</v>
      </c>
      <c r="G26" s="1">
        <v>3511</v>
      </c>
      <c r="H26" s="2" t="s">
        <v>53</v>
      </c>
      <c r="I26" s="2" t="s">
        <v>54</v>
      </c>
      <c r="J26" s="2" t="s">
        <v>55</v>
      </c>
      <c r="K26" s="2" t="s">
        <v>4</v>
      </c>
      <c r="L26" s="4">
        <v>45666</v>
      </c>
      <c r="M26" s="1">
        <v>18486</v>
      </c>
      <c r="N26" s="2" t="s">
        <v>5</v>
      </c>
      <c r="O26" s="2" t="s">
        <v>6</v>
      </c>
      <c r="P26" s="2" t="s">
        <v>56</v>
      </c>
      <c r="Q26" s="2" t="s">
        <v>57</v>
      </c>
      <c r="R26" s="2" t="s">
        <v>58</v>
      </c>
      <c r="S26" s="6" t="s">
        <v>271</v>
      </c>
    </row>
    <row r="27" spans="1:19" ht="33.75" x14ac:dyDescent="0.2">
      <c r="A27" s="2" t="s">
        <v>59</v>
      </c>
      <c r="B27" s="3">
        <v>45666.453414340504</v>
      </c>
      <c r="C27" s="4">
        <v>45666</v>
      </c>
      <c r="D27" s="1">
        <v>49359</v>
      </c>
      <c r="E27" s="4">
        <v>45666</v>
      </c>
      <c r="F27" s="5">
        <v>3760000</v>
      </c>
      <c r="G27" s="1">
        <v>3511</v>
      </c>
      <c r="H27" s="2" t="s">
        <v>53</v>
      </c>
      <c r="I27" s="2" t="s">
        <v>60</v>
      </c>
      <c r="J27" s="2" t="s">
        <v>61</v>
      </c>
      <c r="K27" s="2" t="s">
        <v>4</v>
      </c>
      <c r="L27" s="4">
        <v>45666</v>
      </c>
      <c r="M27" s="1">
        <v>49359</v>
      </c>
      <c r="N27" s="2" t="s">
        <v>5</v>
      </c>
      <c r="O27" s="2" t="s">
        <v>6</v>
      </c>
      <c r="P27" s="2" t="s">
        <v>71</v>
      </c>
      <c r="Q27" s="2" t="s">
        <v>72</v>
      </c>
      <c r="R27" s="2" t="s">
        <v>73</v>
      </c>
      <c r="S27" s="6" t="s">
        <v>273</v>
      </c>
    </row>
    <row r="28" spans="1:19" ht="22.5" x14ac:dyDescent="0.2">
      <c r="A28" s="2" t="s">
        <v>52</v>
      </c>
      <c r="B28" s="3">
        <v>45666.451134259347</v>
      </c>
      <c r="C28" s="4">
        <v>45666</v>
      </c>
      <c r="D28" s="1">
        <v>18487</v>
      </c>
      <c r="E28" s="4">
        <v>45666</v>
      </c>
      <c r="F28" s="5">
        <v>3968193</v>
      </c>
      <c r="G28" s="1">
        <v>3511</v>
      </c>
      <c r="H28" s="2" t="s">
        <v>53</v>
      </c>
      <c r="I28" s="2" t="s">
        <v>54</v>
      </c>
      <c r="J28" s="2" t="s">
        <v>55</v>
      </c>
      <c r="K28" s="2" t="s">
        <v>4</v>
      </c>
      <c r="L28" s="4">
        <v>45666</v>
      </c>
      <c r="M28" s="1">
        <v>18487</v>
      </c>
      <c r="N28" s="2" t="s">
        <v>5</v>
      </c>
      <c r="O28" s="2" t="s">
        <v>6</v>
      </c>
      <c r="P28" s="2" t="s">
        <v>56</v>
      </c>
      <c r="Q28" s="2" t="s">
        <v>57</v>
      </c>
      <c r="R28" s="2" t="s">
        <v>58</v>
      </c>
      <c r="S28" s="6" t="s">
        <v>270</v>
      </c>
    </row>
    <row r="29" spans="1:19" ht="22.5" x14ac:dyDescent="0.2">
      <c r="A29" s="2" t="s">
        <v>52</v>
      </c>
      <c r="B29" s="3">
        <v>45666.452557859011</v>
      </c>
      <c r="C29" s="4">
        <v>45666</v>
      </c>
      <c r="D29" s="1">
        <v>18488</v>
      </c>
      <c r="E29" s="4">
        <v>45666</v>
      </c>
      <c r="F29" s="5">
        <v>7055970</v>
      </c>
      <c r="G29" s="1">
        <v>3511</v>
      </c>
      <c r="H29" s="2" t="s">
        <v>53</v>
      </c>
      <c r="I29" s="2" t="s">
        <v>54</v>
      </c>
      <c r="J29" s="2" t="s">
        <v>55</v>
      </c>
      <c r="K29" s="2" t="s">
        <v>4</v>
      </c>
      <c r="L29" s="4">
        <v>45666</v>
      </c>
      <c r="M29" s="1">
        <v>18488</v>
      </c>
      <c r="N29" s="2" t="s">
        <v>5</v>
      </c>
      <c r="O29" s="2" t="s">
        <v>6</v>
      </c>
      <c r="P29" s="2" t="s">
        <v>56</v>
      </c>
      <c r="Q29" s="2" t="s">
        <v>57</v>
      </c>
      <c r="R29" s="2" t="s">
        <v>58</v>
      </c>
      <c r="S29" s="6" t="s">
        <v>271</v>
      </c>
    </row>
    <row r="30" spans="1:19" ht="22.5" x14ac:dyDescent="0.2">
      <c r="A30" s="2" t="s">
        <v>34</v>
      </c>
      <c r="B30" s="3">
        <v>45666.456909710541</v>
      </c>
      <c r="C30" s="4">
        <v>45666</v>
      </c>
      <c r="D30" s="1">
        <v>21278</v>
      </c>
      <c r="E30" s="4">
        <v>45666</v>
      </c>
      <c r="F30" s="5">
        <v>3853</v>
      </c>
      <c r="G30" s="1">
        <v>3003</v>
      </c>
      <c r="H30" s="2" t="s">
        <v>35</v>
      </c>
      <c r="I30" s="2" t="s">
        <v>74</v>
      </c>
      <c r="J30" s="2" t="s">
        <v>75</v>
      </c>
      <c r="K30" s="2" t="s">
        <v>38</v>
      </c>
      <c r="L30" s="4">
        <v>45666</v>
      </c>
      <c r="M30" s="1">
        <v>21278</v>
      </c>
      <c r="N30" s="2" t="s">
        <v>5</v>
      </c>
      <c r="O30" s="2" t="s">
        <v>6</v>
      </c>
      <c r="P30" s="2" t="s">
        <v>76</v>
      </c>
      <c r="Q30" s="2" t="s">
        <v>77</v>
      </c>
      <c r="R30" s="2" t="s">
        <v>78</v>
      </c>
      <c r="S30" s="6" t="s">
        <v>270</v>
      </c>
    </row>
    <row r="31" spans="1:19" ht="22.5" x14ac:dyDescent="0.2">
      <c r="A31" s="2" t="s">
        <v>79</v>
      </c>
      <c r="B31" s="3">
        <v>45666.451122685336</v>
      </c>
      <c r="C31" s="4">
        <v>45666</v>
      </c>
      <c r="D31" s="1">
        <v>63328</v>
      </c>
      <c r="E31" s="4">
        <v>45666</v>
      </c>
      <c r="F31" s="5">
        <v>22663</v>
      </c>
      <c r="G31" s="1">
        <v>3550</v>
      </c>
      <c r="H31" s="2" t="s">
        <v>1</v>
      </c>
      <c r="I31" s="2" t="s">
        <v>80</v>
      </c>
      <c r="J31" s="2" t="s">
        <v>81</v>
      </c>
      <c r="K31" s="2" t="s">
        <v>4</v>
      </c>
      <c r="L31" s="4">
        <v>45666</v>
      </c>
      <c r="M31" s="1">
        <v>63328</v>
      </c>
      <c r="N31" s="2" t="s">
        <v>5</v>
      </c>
      <c r="O31" s="2" t="s">
        <v>6</v>
      </c>
      <c r="P31" s="2" t="s">
        <v>82</v>
      </c>
      <c r="Q31" s="2" t="s">
        <v>83</v>
      </c>
      <c r="R31" s="2" t="s">
        <v>84</v>
      </c>
      <c r="S31" s="6" t="s">
        <v>270</v>
      </c>
    </row>
    <row r="32" spans="1:19" ht="22.5" x14ac:dyDescent="0.2">
      <c r="A32" s="2" t="s">
        <v>85</v>
      </c>
      <c r="B32" s="3">
        <v>45666.451145833358</v>
      </c>
      <c r="C32" s="4">
        <v>45666</v>
      </c>
      <c r="D32" s="1">
        <v>39154</v>
      </c>
      <c r="E32" s="4">
        <v>45666</v>
      </c>
      <c r="F32" s="5">
        <v>1138295</v>
      </c>
      <c r="G32" s="1">
        <v>3511</v>
      </c>
      <c r="H32" s="2" t="s">
        <v>53</v>
      </c>
      <c r="I32" s="2" t="s">
        <v>74</v>
      </c>
      <c r="J32" s="2" t="s">
        <v>75</v>
      </c>
      <c r="K32" s="2" t="s">
        <v>4</v>
      </c>
      <c r="L32" s="4">
        <v>45666</v>
      </c>
      <c r="M32" s="1">
        <v>39154</v>
      </c>
      <c r="N32" s="2" t="s">
        <v>5</v>
      </c>
      <c r="O32" s="2" t="s">
        <v>6</v>
      </c>
      <c r="P32" s="2" t="s">
        <v>86</v>
      </c>
      <c r="Q32" s="2" t="s">
        <v>87</v>
      </c>
      <c r="R32" s="2" t="s">
        <v>88</v>
      </c>
      <c r="S32" s="6" t="s">
        <v>270</v>
      </c>
    </row>
    <row r="33" spans="1:19" ht="22.5" x14ac:dyDescent="0.2">
      <c r="A33" s="2" t="s">
        <v>52</v>
      </c>
      <c r="B33" s="3">
        <v>45666.451134259347</v>
      </c>
      <c r="C33" s="4">
        <v>45666</v>
      </c>
      <c r="D33" s="1">
        <v>18489</v>
      </c>
      <c r="E33" s="4">
        <v>45666</v>
      </c>
      <c r="F33" s="5">
        <v>2347283</v>
      </c>
      <c r="G33" s="1">
        <v>3511</v>
      </c>
      <c r="H33" s="2" t="s">
        <v>53</v>
      </c>
      <c r="I33" s="2" t="s">
        <v>54</v>
      </c>
      <c r="J33" s="2" t="s">
        <v>55</v>
      </c>
      <c r="K33" s="2" t="s">
        <v>4</v>
      </c>
      <c r="L33" s="4">
        <v>45666</v>
      </c>
      <c r="M33" s="1">
        <v>18489</v>
      </c>
      <c r="N33" s="2" t="s">
        <v>5</v>
      </c>
      <c r="O33" s="2" t="s">
        <v>6</v>
      </c>
      <c r="P33" s="2" t="s">
        <v>56</v>
      </c>
      <c r="Q33" s="2" t="s">
        <v>57</v>
      </c>
      <c r="R33" s="2" t="s">
        <v>58</v>
      </c>
      <c r="S33" s="6" t="s">
        <v>270</v>
      </c>
    </row>
    <row r="34" spans="1:19" ht="22.5" x14ac:dyDescent="0.2">
      <c r="A34" s="2" t="s">
        <v>52</v>
      </c>
      <c r="B34" s="3">
        <v>45666.451180543751</v>
      </c>
      <c r="C34" s="4">
        <v>45666</v>
      </c>
      <c r="D34" s="1">
        <v>18490</v>
      </c>
      <c r="E34" s="4">
        <v>45666</v>
      </c>
      <c r="F34" s="5">
        <v>1888874</v>
      </c>
      <c r="G34" s="1">
        <v>3511</v>
      </c>
      <c r="H34" s="2" t="s">
        <v>53</v>
      </c>
      <c r="I34" s="2" t="s">
        <v>54</v>
      </c>
      <c r="J34" s="2" t="s">
        <v>55</v>
      </c>
      <c r="K34" s="2" t="s">
        <v>4</v>
      </c>
      <c r="L34" s="4">
        <v>45666</v>
      </c>
      <c r="M34" s="1">
        <v>18490</v>
      </c>
      <c r="N34" s="2" t="s">
        <v>5</v>
      </c>
      <c r="O34" s="2" t="s">
        <v>6</v>
      </c>
      <c r="P34" s="2" t="s">
        <v>56</v>
      </c>
      <c r="Q34" s="2" t="s">
        <v>57</v>
      </c>
      <c r="R34" s="2" t="s">
        <v>58</v>
      </c>
      <c r="S34" s="6" t="s">
        <v>270</v>
      </c>
    </row>
    <row r="35" spans="1:19" ht="22.5" x14ac:dyDescent="0.2">
      <c r="A35" s="2" t="s">
        <v>89</v>
      </c>
      <c r="B35" s="3">
        <v>45666.451134259347</v>
      </c>
      <c r="C35" s="4">
        <v>45666</v>
      </c>
      <c r="D35" s="1">
        <v>20377</v>
      </c>
      <c r="E35" s="4">
        <v>45666</v>
      </c>
      <c r="F35" s="5">
        <v>60165</v>
      </c>
      <c r="G35" s="1">
        <v>3550</v>
      </c>
      <c r="H35" s="2" t="s">
        <v>1</v>
      </c>
      <c r="I35" s="2" t="s">
        <v>90</v>
      </c>
      <c r="J35" s="2" t="s">
        <v>91</v>
      </c>
      <c r="K35" s="2" t="s">
        <v>4</v>
      </c>
      <c r="L35" s="4">
        <v>45666</v>
      </c>
      <c r="M35" s="1">
        <v>20377</v>
      </c>
      <c r="N35" s="2" t="s">
        <v>5</v>
      </c>
      <c r="O35" s="2" t="s">
        <v>6</v>
      </c>
      <c r="P35" s="2" t="s">
        <v>92</v>
      </c>
      <c r="Q35" s="2" t="s">
        <v>93</v>
      </c>
      <c r="R35" s="2" t="s">
        <v>94</v>
      </c>
      <c r="S35" s="6" t="s">
        <v>270</v>
      </c>
    </row>
    <row r="36" spans="1:19" ht="22.5" x14ac:dyDescent="0.2">
      <c r="A36" s="2" t="s">
        <v>0</v>
      </c>
      <c r="B36" s="3">
        <v>45666.452534710523</v>
      </c>
      <c r="C36" s="4">
        <v>45666</v>
      </c>
      <c r="D36" s="1">
        <v>48533</v>
      </c>
      <c r="E36" s="4">
        <v>45666</v>
      </c>
      <c r="F36" s="5">
        <v>262250</v>
      </c>
      <c r="G36" s="1">
        <v>3550</v>
      </c>
      <c r="H36" s="2" t="s">
        <v>1</v>
      </c>
      <c r="I36" s="2" t="s">
        <v>2</v>
      </c>
      <c r="J36" s="2" t="s">
        <v>3</v>
      </c>
      <c r="K36" s="2" t="s">
        <v>4</v>
      </c>
      <c r="L36" s="4">
        <v>45666</v>
      </c>
      <c r="M36" s="1">
        <v>48533</v>
      </c>
      <c r="N36" s="2" t="s">
        <v>5</v>
      </c>
      <c r="O36" s="2" t="s">
        <v>6</v>
      </c>
      <c r="P36" s="2" t="s">
        <v>95</v>
      </c>
      <c r="Q36" s="2" t="s">
        <v>96</v>
      </c>
      <c r="R36" s="2" t="s">
        <v>97</v>
      </c>
      <c r="S36" s="6" t="s">
        <v>271</v>
      </c>
    </row>
    <row r="37" spans="1:19" ht="22.5" x14ac:dyDescent="0.2">
      <c r="A37" s="2" t="s">
        <v>98</v>
      </c>
      <c r="B37" s="3">
        <v>45666.451134259347</v>
      </c>
      <c r="C37" s="4">
        <v>45666</v>
      </c>
      <c r="D37" s="1">
        <v>52171</v>
      </c>
      <c r="E37" s="4">
        <v>45666</v>
      </c>
      <c r="F37" s="5">
        <v>42250</v>
      </c>
      <c r="G37" s="1">
        <v>3511</v>
      </c>
      <c r="H37" s="2" t="s">
        <v>53</v>
      </c>
      <c r="I37" s="2" t="s">
        <v>99</v>
      </c>
      <c r="J37" s="2" t="s">
        <v>100</v>
      </c>
      <c r="K37" s="2" t="s">
        <v>4</v>
      </c>
      <c r="L37" s="4">
        <v>45666</v>
      </c>
      <c r="M37" s="1">
        <v>52171</v>
      </c>
      <c r="N37" s="2" t="s">
        <v>5</v>
      </c>
      <c r="O37" s="2" t="s">
        <v>6</v>
      </c>
      <c r="P37" s="2" t="s">
        <v>101</v>
      </c>
      <c r="Q37" s="2" t="s">
        <v>102</v>
      </c>
      <c r="R37" s="2" t="s">
        <v>103</v>
      </c>
      <c r="S37" s="6" t="s">
        <v>270</v>
      </c>
    </row>
    <row r="38" spans="1:19" ht="22.5" x14ac:dyDescent="0.2">
      <c r="A38" s="2" t="s">
        <v>104</v>
      </c>
      <c r="B38" s="3">
        <v>45666.451168969739</v>
      </c>
      <c r="C38" s="4">
        <v>45666</v>
      </c>
      <c r="D38" s="1">
        <v>46887</v>
      </c>
      <c r="E38" s="4">
        <v>45666</v>
      </c>
      <c r="F38" s="5">
        <v>633219</v>
      </c>
      <c r="G38" s="1">
        <v>3511</v>
      </c>
      <c r="H38" s="2" t="s">
        <v>53</v>
      </c>
      <c r="I38" s="2" t="s">
        <v>105</v>
      </c>
      <c r="J38" s="2" t="s">
        <v>106</v>
      </c>
      <c r="K38" s="2" t="s">
        <v>4</v>
      </c>
      <c r="L38" s="4">
        <v>45666</v>
      </c>
      <c r="M38" s="1">
        <v>46887</v>
      </c>
      <c r="N38" s="2" t="s">
        <v>5</v>
      </c>
      <c r="O38" s="2" t="s">
        <v>6</v>
      </c>
      <c r="P38" s="2" t="s">
        <v>107</v>
      </c>
      <c r="Q38" s="2" t="s">
        <v>108</v>
      </c>
      <c r="R38" s="2" t="s">
        <v>109</v>
      </c>
      <c r="S38" s="6" t="s">
        <v>270</v>
      </c>
    </row>
    <row r="39" spans="1:19" ht="22.5" x14ac:dyDescent="0.2">
      <c r="A39" s="2" t="s">
        <v>85</v>
      </c>
      <c r="B39" s="3">
        <v>45666.451134259347</v>
      </c>
      <c r="C39" s="4">
        <v>45666</v>
      </c>
      <c r="D39" s="1">
        <v>39155</v>
      </c>
      <c r="E39" s="4">
        <v>45666</v>
      </c>
      <c r="F39" s="5">
        <v>139680</v>
      </c>
      <c r="G39" s="1">
        <v>3550</v>
      </c>
      <c r="H39" s="2" t="s">
        <v>1</v>
      </c>
      <c r="I39" s="2" t="s">
        <v>74</v>
      </c>
      <c r="J39" s="2" t="s">
        <v>75</v>
      </c>
      <c r="K39" s="2" t="s">
        <v>4</v>
      </c>
      <c r="L39" s="4">
        <v>45666</v>
      </c>
      <c r="M39" s="1">
        <v>39155</v>
      </c>
      <c r="N39" s="2" t="s">
        <v>5</v>
      </c>
      <c r="O39" s="2" t="s">
        <v>6</v>
      </c>
      <c r="P39" s="2" t="s">
        <v>110</v>
      </c>
      <c r="Q39" s="2" t="s">
        <v>111</v>
      </c>
      <c r="R39" s="2" t="s">
        <v>112</v>
      </c>
      <c r="S39" s="6" t="s">
        <v>270</v>
      </c>
    </row>
    <row r="40" spans="1:19" ht="22.5" x14ac:dyDescent="0.2">
      <c r="A40" s="2" t="s">
        <v>113</v>
      </c>
      <c r="B40" s="3">
        <v>45666.451168969739</v>
      </c>
      <c r="C40" s="4">
        <v>45666</v>
      </c>
      <c r="D40" s="1">
        <v>22505</v>
      </c>
      <c r="E40" s="4">
        <v>45666</v>
      </c>
      <c r="F40" s="5">
        <v>53100</v>
      </c>
      <c r="G40" s="1">
        <v>3550</v>
      </c>
      <c r="H40" s="2" t="s">
        <v>1</v>
      </c>
      <c r="I40" s="2" t="s">
        <v>114</v>
      </c>
      <c r="J40" s="2" t="s">
        <v>115</v>
      </c>
      <c r="K40" s="2" t="s">
        <v>4</v>
      </c>
      <c r="L40" s="4">
        <v>45666</v>
      </c>
      <c r="M40" s="1">
        <v>22505</v>
      </c>
      <c r="N40" s="2" t="s">
        <v>5</v>
      </c>
      <c r="O40" s="2" t="s">
        <v>6</v>
      </c>
      <c r="P40" s="2" t="s">
        <v>116</v>
      </c>
      <c r="Q40" s="2" t="s">
        <v>117</v>
      </c>
      <c r="R40" s="2" t="s">
        <v>118</v>
      </c>
      <c r="S40" s="6" t="s">
        <v>270</v>
      </c>
    </row>
    <row r="41" spans="1:19" ht="22.5" x14ac:dyDescent="0.2">
      <c r="A41" s="2" t="s">
        <v>16</v>
      </c>
      <c r="B41" s="3">
        <v>45666.451122685336</v>
      </c>
      <c r="C41" s="4">
        <v>45666</v>
      </c>
      <c r="D41" s="1">
        <v>6468</v>
      </c>
      <c r="E41" s="4">
        <v>45666</v>
      </c>
      <c r="F41" s="5">
        <v>10500</v>
      </c>
      <c r="G41" s="1">
        <v>3550</v>
      </c>
      <c r="H41" s="2" t="s">
        <v>1</v>
      </c>
      <c r="I41" s="2" t="s">
        <v>17</v>
      </c>
      <c r="J41" s="2" t="s">
        <v>18</v>
      </c>
      <c r="K41" s="2" t="s">
        <v>4</v>
      </c>
      <c r="L41" s="4">
        <v>45666</v>
      </c>
      <c r="M41" s="1">
        <v>6468</v>
      </c>
      <c r="N41" s="2" t="s">
        <v>5</v>
      </c>
      <c r="O41" s="2" t="s">
        <v>6</v>
      </c>
      <c r="P41" s="2" t="s">
        <v>119</v>
      </c>
      <c r="Q41" s="2" t="s">
        <v>120</v>
      </c>
      <c r="R41" s="2" t="s">
        <v>121</v>
      </c>
      <c r="S41" s="6" t="s">
        <v>270</v>
      </c>
    </row>
    <row r="42" spans="1:19" ht="22.5" x14ac:dyDescent="0.2">
      <c r="A42" s="2" t="s">
        <v>122</v>
      </c>
      <c r="B42" s="3">
        <v>45666.451145833358</v>
      </c>
      <c r="C42" s="4">
        <v>45666</v>
      </c>
      <c r="D42" s="1">
        <v>8229</v>
      </c>
      <c r="E42" s="4">
        <v>45666</v>
      </c>
      <c r="F42" s="5">
        <v>112500</v>
      </c>
      <c r="G42" s="1">
        <v>3550</v>
      </c>
      <c r="H42" s="2" t="s">
        <v>1</v>
      </c>
      <c r="I42" s="2" t="s">
        <v>123</v>
      </c>
      <c r="J42" s="2" t="s">
        <v>124</v>
      </c>
      <c r="K42" s="2" t="s">
        <v>4</v>
      </c>
      <c r="L42" s="4">
        <v>45666</v>
      </c>
      <c r="M42" s="1">
        <v>8229</v>
      </c>
      <c r="N42" s="2" t="s">
        <v>5</v>
      </c>
      <c r="O42" s="2" t="s">
        <v>6</v>
      </c>
      <c r="P42" s="2" t="s">
        <v>125</v>
      </c>
      <c r="Q42" s="2" t="s">
        <v>126</v>
      </c>
      <c r="R42" s="2" t="s">
        <v>127</v>
      </c>
      <c r="S42" s="6" t="s">
        <v>270</v>
      </c>
    </row>
    <row r="43" spans="1:19" ht="22.5" x14ac:dyDescent="0.2">
      <c r="A43" s="2" t="s">
        <v>85</v>
      </c>
      <c r="B43" s="3">
        <v>45666.451134259347</v>
      </c>
      <c r="C43" s="4">
        <v>45666</v>
      </c>
      <c r="D43" s="1">
        <v>39156</v>
      </c>
      <c r="E43" s="4">
        <v>45666</v>
      </c>
      <c r="F43" s="5">
        <v>157522</v>
      </c>
      <c r="G43" s="1">
        <v>3550</v>
      </c>
      <c r="H43" s="2" t="s">
        <v>1</v>
      </c>
      <c r="I43" s="2" t="s">
        <v>74</v>
      </c>
      <c r="J43" s="2" t="s">
        <v>75</v>
      </c>
      <c r="K43" s="2" t="s">
        <v>4</v>
      </c>
      <c r="L43" s="4">
        <v>45666</v>
      </c>
      <c r="M43" s="1">
        <v>39156</v>
      </c>
      <c r="N43" s="2" t="s">
        <v>5</v>
      </c>
      <c r="O43" s="2" t="s">
        <v>6</v>
      </c>
      <c r="P43" s="2" t="s">
        <v>128</v>
      </c>
      <c r="Q43" s="2" t="s">
        <v>129</v>
      </c>
      <c r="R43" s="2" t="s">
        <v>130</v>
      </c>
      <c r="S43" s="6" t="s">
        <v>270</v>
      </c>
    </row>
    <row r="44" spans="1:19" ht="22.5" x14ac:dyDescent="0.2">
      <c r="A44" s="2" t="s">
        <v>34</v>
      </c>
      <c r="B44" s="3">
        <v>45666.456921284553</v>
      </c>
      <c r="C44" s="4">
        <v>45666</v>
      </c>
      <c r="D44" s="1">
        <v>15625</v>
      </c>
      <c r="E44" s="4">
        <v>45666</v>
      </c>
      <c r="F44" s="5">
        <v>212955</v>
      </c>
      <c r="G44" s="1">
        <v>3003</v>
      </c>
      <c r="H44" s="2" t="s">
        <v>35</v>
      </c>
      <c r="I44" s="2" t="s">
        <v>131</v>
      </c>
      <c r="J44" s="2" t="s">
        <v>132</v>
      </c>
      <c r="K44" s="2" t="s">
        <v>38</v>
      </c>
      <c r="L44" s="4">
        <v>45666</v>
      </c>
      <c r="M44" s="1">
        <v>15625</v>
      </c>
      <c r="N44" s="2" t="s">
        <v>5</v>
      </c>
      <c r="O44" s="2" t="s">
        <v>6</v>
      </c>
      <c r="P44" s="2" t="s">
        <v>133</v>
      </c>
      <c r="Q44" s="2" t="s">
        <v>134</v>
      </c>
      <c r="R44" s="2" t="s">
        <v>135</v>
      </c>
      <c r="S44" s="6" t="s">
        <v>270</v>
      </c>
    </row>
    <row r="45" spans="1:19" ht="22.5" x14ac:dyDescent="0.2">
      <c r="A45" s="2" t="s">
        <v>34</v>
      </c>
      <c r="B45" s="3">
        <v>45666.456944433041</v>
      </c>
      <c r="C45" s="4">
        <v>45666</v>
      </c>
      <c r="D45" s="1">
        <v>39574</v>
      </c>
      <c r="E45" s="4">
        <v>45666</v>
      </c>
      <c r="F45" s="5">
        <v>179676</v>
      </c>
      <c r="G45" s="1">
        <v>3003</v>
      </c>
      <c r="H45" s="2" t="s">
        <v>35</v>
      </c>
      <c r="I45" s="2" t="s">
        <v>105</v>
      </c>
      <c r="J45" s="2" t="s">
        <v>106</v>
      </c>
      <c r="K45" s="2" t="s">
        <v>38</v>
      </c>
      <c r="L45" s="4">
        <v>45666</v>
      </c>
      <c r="M45" s="1">
        <v>39574</v>
      </c>
      <c r="N45" s="2" t="s">
        <v>5</v>
      </c>
      <c r="O45" s="2" t="s">
        <v>6</v>
      </c>
      <c r="P45" s="2" t="s">
        <v>136</v>
      </c>
      <c r="Q45" s="2" t="s">
        <v>137</v>
      </c>
      <c r="R45" s="2" t="s">
        <v>138</v>
      </c>
      <c r="S45" s="6" t="s">
        <v>270</v>
      </c>
    </row>
    <row r="46" spans="1:19" ht="22.5" x14ac:dyDescent="0.2">
      <c r="A46" s="2" t="s">
        <v>34</v>
      </c>
      <c r="B46" s="3">
        <v>45666.456967592705</v>
      </c>
      <c r="C46" s="4">
        <v>45666</v>
      </c>
      <c r="D46" s="1">
        <v>15626</v>
      </c>
      <c r="E46" s="4">
        <v>45666</v>
      </c>
      <c r="F46" s="5">
        <v>11848</v>
      </c>
      <c r="G46" s="1">
        <v>3003</v>
      </c>
      <c r="H46" s="2" t="s">
        <v>35</v>
      </c>
      <c r="I46" s="2" t="s">
        <v>131</v>
      </c>
      <c r="J46" s="2" t="s">
        <v>132</v>
      </c>
      <c r="K46" s="2" t="s">
        <v>38</v>
      </c>
      <c r="L46" s="4">
        <v>45666</v>
      </c>
      <c r="M46" s="1">
        <v>15626</v>
      </c>
      <c r="N46" s="2" t="s">
        <v>5</v>
      </c>
      <c r="O46" s="2" t="s">
        <v>6</v>
      </c>
      <c r="P46" s="2" t="s">
        <v>139</v>
      </c>
      <c r="Q46" s="2" t="s">
        <v>140</v>
      </c>
      <c r="R46" s="2" t="s">
        <v>141</v>
      </c>
      <c r="S46" s="6" t="s">
        <v>270</v>
      </c>
    </row>
    <row r="47" spans="1:19" ht="22.5" x14ac:dyDescent="0.2">
      <c r="A47" s="2" t="s">
        <v>122</v>
      </c>
      <c r="B47" s="3">
        <v>45666.451168969739</v>
      </c>
      <c r="C47" s="4">
        <v>45666</v>
      </c>
      <c r="D47" s="1">
        <v>8230</v>
      </c>
      <c r="E47" s="4">
        <v>45666</v>
      </c>
      <c r="F47" s="5">
        <v>208000</v>
      </c>
      <c r="G47" s="1">
        <v>3550</v>
      </c>
      <c r="H47" s="2" t="s">
        <v>1</v>
      </c>
      <c r="I47" s="2" t="s">
        <v>123</v>
      </c>
      <c r="J47" s="2" t="s">
        <v>124</v>
      </c>
      <c r="K47" s="2" t="s">
        <v>4</v>
      </c>
      <c r="L47" s="4">
        <v>45666</v>
      </c>
      <c r="M47" s="1">
        <v>8230</v>
      </c>
      <c r="N47" s="2" t="s">
        <v>5</v>
      </c>
      <c r="O47" s="2" t="s">
        <v>6</v>
      </c>
      <c r="P47" s="2" t="s">
        <v>142</v>
      </c>
      <c r="Q47" s="2" t="s">
        <v>143</v>
      </c>
      <c r="R47" s="2" t="s">
        <v>144</v>
      </c>
      <c r="S47" s="6" t="s">
        <v>270</v>
      </c>
    </row>
    <row r="48" spans="1:19" ht="22.5" x14ac:dyDescent="0.2">
      <c r="A48" s="2" t="s">
        <v>145</v>
      </c>
      <c r="B48" s="3">
        <v>45666.451134259347</v>
      </c>
      <c r="C48" s="4">
        <v>45666</v>
      </c>
      <c r="D48" s="1">
        <v>6836</v>
      </c>
      <c r="E48" s="4">
        <v>45666</v>
      </c>
      <c r="F48" s="5">
        <v>91200</v>
      </c>
      <c r="G48" s="1">
        <v>3550</v>
      </c>
      <c r="H48" s="2" t="s">
        <v>1</v>
      </c>
      <c r="I48" s="2" t="s">
        <v>146</v>
      </c>
      <c r="J48" s="2" t="s">
        <v>147</v>
      </c>
      <c r="K48" s="2" t="s">
        <v>4</v>
      </c>
      <c r="L48" s="4">
        <v>45666</v>
      </c>
      <c r="M48" s="1">
        <v>6836</v>
      </c>
      <c r="N48" s="2" t="s">
        <v>5</v>
      </c>
      <c r="O48" s="2" t="s">
        <v>6</v>
      </c>
      <c r="P48" s="2" t="s">
        <v>148</v>
      </c>
      <c r="Q48" s="2" t="s">
        <v>149</v>
      </c>
      <c r="R48" s="2" t="s">
        <v>150</v>
      </c>
      <c r="S48" s="6" t="s">
        <v>270</v>
      </c>
    </row>
    <row r="49" spans="1:19" ht="22.5" x14ac:dyDescent="0.2">
      <c r="A49" s="2" t="s">
        <v>151</v>
      </c>
      <c r="B49" s="3">
        <v>45666.451168969739</v>
      </c>
      <c r="C49" s="4">
        <v>45666</v>
      </c>
      <c r="D49" s="1">
        <v>31667</v>
      </c>
      <c r="E49" s="4">
        <v>45666</v>
      </c>
      <c r="F49" s="5">
        <v>1247214</v>
      </c>
      <c r="G49" s="1">
        <v>3511</v>
      </c>
      <c r="H49" s="2" t="s">
        <v>53</v>
      </c>
      <c r="I49" s="2" t="s">
        <v>36</v>
      </c>
      <c r="J49" s="2" t="s">
        <v>37</v>
      </c>
      <c r="K49" s="2" t="s">
        <v>4</v>
      </c>
      <c r="L49" s="4">
        <v>45666</v>
      </c>
      <c r="M49" s="1">
        <v>31667</v>
      </c>
      <c r="N49" s="2" t="s">
        <v>5</v>
      </c>
      <c r="O49" s="2" t="s">
        <v>6</v>
      </c>
      <c r="P49" s="2" t="s">
        <v>152</v>
      </c>
      <c r="Q49" s="2" t="s">
        <v>153</v>
      </c>
      <c r="R49" s="2" t="s">
        <v>154</v>
      </c>
      <c r="S49" s="6" t="s">
        <v>270</v>
      </c>
    </row>
    <row r="50" spans="1:19" ht="22.5" x14ac:dyDescent="0.2">
      <c r="A50" s="2" t="s">
        <v>155</v>
      </c>
      <c r="B50" s="3">
        <v>45666.451134259347</v>
      </c>
      <c r="C50" s="4">
        <v>45666</v>
      </c>
      <c r="D50" s="1">
        <v>18880</v>
      </c>
      <c r="E50" s="4">
        <v>45666</v>
      </c>
      <c r="F50" s="5">
        <v>284728</v>
      </c>
      <c r="G50" s="1">
        <v>3550</v>
      </c>
      <c r="H50" s="2" t="s">
        <v>1</v>
      </c>
      <c r="I50" s="2" t="s">
        <v>156</v>
      </c>
      <c r="J50" s="2" t="s">
        <v>157</v>
      </c>
      <c r="K50" s="2" t="s">
        <v>4</v>
      </c>
      <c r="L50" s="4">
        <v>45666</v>
      </c>
      <c r="M50" s="1">
        <v>18880</v>
      </c>
      <c r="N50" s="2" t="s">
        <v>5</v>
      </c>
      <c r="O50" s="2" t="s">
        <v>6</v>
      </c>
      <c r="P50" s="2" t="s">
        <v>158</v>
      </c>
      <c r="Q50" s="2" t="s">
        <v>159</v>
      </c>
      <c r="R50" s="2" t="s">
        <v>160</v>
      </c>
      <c r="S50" s="6" t="s">
        <v>270</v>
      </c>
    </row>
    <row r="51" spans="1:19" ht="22.5" x14ac:dyDescent="0.2">
      <c r="A51" s="2" t="s">
        <v>59</v>
      </c>
      <c r="B51" s="3">
        <v>45666.451168969739</v>
      </c>
      <c r="C51" s="4">
        <v>45666</v>
      </c>
      <c r="D51" s="1">
        <v>49360</v>
      </c>
      <c r="E51" s="4">
        <v>45666</v>
      </c>
      <c r="F51" s="5">
        <v>4488000</v>
      </c>
      <c r="G51" s="1">
        <v>3550</v>
      </c>
      <c r="H51" s="2" t="s">
        <v>1</v>
      </c>
      <c r="I51" s="2" t="s">
        <v>60</v>
      </c>
      <c r="J51" s="2" t="s">
        <v>61</v>
      </c>
      <c r="K51" s="2" t="s">
        <v>4</v>
      </c>
      <c r="L51" s="4">
        <v>45666</v>
      </c>
      <c r="M51" s="1">
        <v>49360</v>
      </c>
      <c r="N51" s="2" t="s">
        <v>5</v>
      </c>
      <c r="O51" s="2" t="s">
        <v>6</v>
      </c>
      <c r="P51" s="2" t="s">
        <v>161</v>
      </c>
      <c r="Q51" s="2" t="s">
        <v>162</v>
      </c>
      <c r="R51" s="2" t="s">
        <v>163</v>
      </c>
      <c r="S51" s="6" t="s">
        <v>270</v>
      </c>
    </row>
    <row r="52" spans="1:19" ht="22.5" x14ac:dyDescent="0.2">
      <c r="A52" s="2" t="s">
        <v>164</v>
      </c>
      <c r="B52" s="3">
        <v>45666.451134259347</v>
      </c>
      <c r="C52" s="4">
        <v>45666</v>
      </c>
      <c r="D52" s="1">
        <v>46888</v>
      </c>
      <c r="E52" s="4">
        <v>45666</v>
      </c>
      <c r="F52" s="5">
        <v>129930</v>
      </c>
      <c r="G52" s="1">
        <v>3550</v>
      </c>
      <c r="H52" s="2" t="s">
        <v>1</v>
      </c>
      <c r="I52" s="2" t="s">
        <v>105</v>
      </c>
      <c r="J52" s="2" t="s">
        <v>106</v>
      </c>
      <c r="K52" s="2" t="s">
        <v>4</v>
      </c>
      <c r="L52" s="4">
        <v>45666</v>
      </c>
      <c r="M52" s="1">
        <v>46888</v>
      </c>
      <c r="N52" s="2" t="s">
        <v>5</v>
      </c>
      <c r="O52" s="2" t="s">
        <v>6</v>
      </c>
      <c r="P52" s="2" t="s">
        <v>165</v>
      </c>
      <c r="Q52" s="2" t="s">
        <v>166</v>
      </c>
      <c r="R52" s="2" t="s">
        <v>167</v>
      </c>
      <c r="S52" s="6" t="s">
        <v>270</v>
      </c>
    </row>
    <row r="53" spans="1:19" ht="22.5" x14ac:dyDescent="0.2">
      <c r="A53" s="2" t="s">
        <v>16</v>
      </c>
      <c r="B53" s="3">
        <v>45666.451157395728</v>
      </c>
      <c r="C53" s="4">
        <v>45666</v>
      </c>
      <c r="D53" s="1">
        <v>6469</v>
      </c>
      <c r="E53" s="4">
        <v>45666</v>
      </c>
      <c r="F53" s="5">
        <v>22500</v>
      </c>
      <c r="G53" s="1">
        <v>3550</v>
      </c>
      <c r="H53" s="2" t="s">
        <v>1</v>
      </c>
      <c r="I53" s="2" t="s">
        <v>17</v>
      </c>
      <c r="J53" s="2" t="s">
        <v>18</v>
      </c>
      <c r="K53" s="2" t="s">
        <v>4</v>
      </c>
      <c r="L53" s="4">
        <v>45666</v>
      </c>
      <c r="M53" s="1">
        <v>6469</v>
      </c>
      <c r="N53" s="2" t="s">
        <v>5</v>
      </c>
      <c r="O53" s="2" t="s">
        <v>6</v>
      </c>
      <c r="P53" s="2" t="s">
        <v>168</v>
      </c>
      <c r="Q53" s="2" t="s">
        <v>169</v>
      </c>
      <c r="R53" s="2" t="s">
        <v>170</v>
      </c>
      <c r="S53" s="6" t="s">
        <v>270</v>
      </c>
    </row>
    <row r="54" spans="1:19" ht="22.5" x14ac:dyDescent="0.2">
      <c r="A54" s="2" t="s">
        <v>16</v>
      </c>
      <c r="B54" s="3">
        <v>45666.451134259347</v>
      </c>
      <c r="C54" s="4">
        <v>45666</v>
      </c>
      <c r="D54" s="1">
        <v>6470</v>
      </c>
      <c r="E54" s="4">
        <v>45666</v>
      </c>
      <c r="F54" s="5">
        <v>15000</v>
      </c>
      <c r="G54" s="1">
        <v>3550</v>
      </c>
      <c r="H54" s="2" t="s">
        <v>1</v>
      </c>
      <c r="I54" s="2" t="s">
        <v>17</v>
      </c>
      <c r="J54" s="2" t="s">
        <v>18</v>
      </c>
      <c r="K54" s="2" t="s">
        <v>4</v>
      </c>
      <c r="L54" s="4">
        <v>45666</v>
      </c>
      <c r="M54" s="1">
        <v>6470</v>
      </c>
      <c r="N54" s="2" t="s">
        <v>5</v>
      </c>
      <c r="O54" s="2" t="s">
        <v>6</v>
      </c>
      <c r="P54" s="2" t="s">
        <v>171</v>
      </c>
      <c r="Q54" s="2" t="s">
        <v>172</v>
      </c>
      <c r="R54" s="2" t="s">
        <v>173</v>
      </c>
      <c r="S54" s="6" t="s">
        <v>270</v>
      </c>
    </row>
    <row r="55" spans="1:19" ht="22.5" x14ac:dyDescent="0.2">
      <c r="A55" s="2" t="s">
        <v>174</v>
      </c>
      <c r="B55" s="3">
        <v>45666.451168969739</v>
      </c>
      <c r="C55" s="4">
        <v>45666</v>
      </c>
      <c r="D55" s="1">
        <v>2965</v>
      </c>
      <c r="E55" s="4">
        <v>45666</v>
      </c>
      <c r="F55" s="5">
        <v>125213500</v>
      </c>
      <c r="G55" s="1">
        <v>3511</v>
      </c>
      <c r="H55" s="2" t="s">
        <v>53</v>
      </c>
      <c r="I55" s="2" t="s">
        <v>175</v>
      </c>
      <c r="J55" s="2" t="s">
        <v>176</v>
      </c>
      <c r="K55" s="2" t="s">
        <v>4</v>
      </c>
      <c r="L55" s="4">
        <v>45666</v>
      </c>
      <c r="M55" s="1">
        <v>2965</v>
      </c>
      <c r="N55" s="2" t="s">
        <v>5</v>
      </c>
      <c r="O55" s="2" t="s">
        <v>6</v>
      </c>
      <c r="P55" s="2" t="s">
        <v>177</v>
      </c>
      <c r="Q55" s="2" t="s">
        <v>178</v>
      </c>
      <c r="R55" s="2" t="s">
        <v>179</v>
      </c>
      <c r="S55" s="6" t="s">
        <v>270</v>
      </c>
    </row>
    <row r="56" spans="1:19" ht="22.5" x14ac:dyDescent="0.2">
      <c r="A56" s="2" t="s">
        <v>34</v>
      </c>
      <c r="B56" s="3">
        <v>45666.456979166716</v>
      </c>
      <c r="C56" s="4">
        <v>45666</v>
      </c>
      <c r="D56" s="1">
        <v>11017</v>
      </c>
      <c r="E56" s="4">
        <v>45666</v>
      </c>
      <c r="F56" s="5">
        <v>160024</v>
      </c>
      <c r="G56" s="1">
        <v>3003</v>
      </c>
      <c r="H56" s="2" t="s">
        <v>35</v>
      </c>
      <c r="I56" s="2" t="s">
        <v>180</v>
      </c>
      <c r="J56" s="2" t="s">
        <v>181</v>
      </c>
      <c r="K56" s="2" t="s">
        <v>38</v>
      </c>
      <c r="L56" s="4">
        <v>45666</v>
      </c>
      <c r="M56" s="1">
        <v>11017</v>
      </c>
      <c r="N56" s="2" t="s">
        <v>5</v>
      </c>
      <c r="O56" s="2" t="s">
        <v>6</v>
      </c>
      <c r="P56" s="2" t="s">
        <v>182</v>
      </c>
      <c r="Q56" s="2" t="s">
        <v>183</v>
      </c>
      <c r="R56" s="2" t="s">
        <v>184</v>
      </c>
      <c r="S56" s="6" t="s">
        <v>270</v>
      </c>
    </row>
    <row r="57" spans="1:19" ht="22.5" x14ac:dyDescent="0.2">
      <c r="A57" s="2" t="s">
        <v>185</v>
      </c>
      <c r="B57" s="3">
        <v>45666.451192118227</v>
      </c>
      <c r="C57" s="4">
        <v>45666</v>
      </c>
      <c r="D57" s="1">
        <v>1073</v>
      </c>
      <c r="E57" s="4">
        <v>45666</v>
      </c>
      <c r="F57" s="5">
        <v>40101120</v>
      </c>
      <c r="G57" s="1">
        <v>3511</v>
      </c>
      <c r="H57" s="2" t="s">
        <v>53</v>
      </c>
      <c r="I57" s="2" t="s">
        <v>186</v>
      </c>
      <c r="J57" s="2" t="s">
        <v>187</v>
      </c>
      <c r="K57" s="2" t="s">
        <v>4</v>
      </c>
      <c r="L57" s="4">
        <v>45666</v>
      </c>
      <c r="M57" s="1">
        <v>1073</v>
      </c>
      <c r="N57" s="2" t="s">
        <v>5</v>
      </c>
      <c r="O57" s="2" t="s">
        <v>6</v>
      </c>
      <c r="P57" s="2" t="s">
        <v>188</v>
      </c>
      <c r="Q57" s="2" t="s">
        <v>189</v>
      </c>
      <c r="R57" s="2" t="s">
        <v>190</v>
      </c>
      <c r="S57" s="6" t="s">
        <v>270</v>
      </c>
    </row>
    <row r="58" spans="1:19" ht="22.5" x14ac:dyDescent="0.2">
      <c r="A58" s="2" t="s">
        <v>191</v>
      </c>
      <c r="B58" s="3">
        <v>45666.45120370388</v>
      </c>
      <c r="C58" s="4">
        <v>45666</v>
      </c>
      <c r="D58" s="1">
        <v>6102</v>
      </c>
      <c r="E58" s="4">
        <v>45666</v>
      </c>
      <c r="F58" s="5">
        <v>188180</v>
      </c>
      <c r="G58" s="1">
        <v>3550</v>
      </c>
      <c r="H58" s="2" t="s">
        <v>1</v>
      </c>
      <c r="I58" s="2" t="s">
        <v>192</v>
      </c>
      <c r="J58" s="2" t="s">
        <v>193</v>
      </c>
      <c r="K58" s="2" t="s">
        <v>4</v>
      </c>
      <c r="L58" s="4">
        <v>45666</v>
      </c>
      <c r="M58" s="1">
        <v>6102</v>
      </c>
      <c r="N58" s="2" t="s">
        <v>5</v>
      </c>
      <c r="O58" s="2" t="s">
        <v>6</v>
      </c>
      <c r="P58" s="2" t="s">
        <v>194</v>
      </c>
      <c r="Q58" s="2" t="s">
        <v>195</v>
      </c>
      <c r="R58" s="2" t="s">
        <v>196</v>
      </c>
      <c r="S58" s="6" t="s">
        <v>270</v>
      </c>
    </row>
    <row r="59" spans="1:19" ht="22.5" x14ac:dyDescent="0.2">
      <c r="A59" s="2" t="s">
        <v>185</v>
      </c>
      <c r="B59" s="3">
        <v>45666.451226851903</v>
      </c>
      <c r="C59" s="4">
        <v>45666</v>
      </c>
      <c r="D59" s="1">
        <v>1074</v>
      </c>
      <c r="E59" s="4">
        <v>45666</v>
      </c>
      <c r="F59" s="5">
        <v>77088175</v>
      </c>
      <c r="G59" s="1">
        <v>3511</v>
      </c>
      <c r="H59" s="2" t="s">
        <v>53</v>
      </c>
      <c r="I59" s="2" t="s">
        <v>186</v>
      </c>
      <c r="J59" s="2" t="s">
        <v>187</v>
      </c>
      <c r="K59" s="2" t="s">
        <v>4</v>
      </c>
      <c r="L59" s="4">
        <v>45666</v>
      </c>
      <c r="M59" s="1">
        <v>1074</v>
      </c>
      <c r="N59" s="2" t="s">
        <v>5</v>
      </c>
      <c r="O59" s="2" t="s">
        <v>6</v>
      </c>
      <c r="P59" s="2" t="s">
        <v>188</v>
      </c>
      <c r="Q59" s="2" t="s">
        <v>189</v>
      </c>
      <c r="R59" s="2" t="s">
        <v>190</v>
      </c>
      <c r="S59" s="6" t="s">
        <v>270</v>
      </c>
    </row>
    <row r="60" spans="1:19" ht="22.5" x14ac:dyDescent="0.2">
      <c r="A60" s="2" t="s">
        <v>185</v>
      </c>
      <c r="B60" s="3">
        <v>45666.452627303079</v>
      </c>
      <c r="C60" s="4">
        <v>45666</v>
      </c>
      <c r="D60" s="1">
        <v>1075</v>
      </c>
      <c r="E60" s="4">
        <v>45666</v>
      </c>
      <c r="F60" s="5">
        <v>73518720</v>
      </c>
      <c r="G60" s="1">
        <v>3511</v>
      </c>
      <c r="H60" s="2" t="s">
        <v>53</v>
      </c>
      <c r="I60" s="2" t="s">
        <v>186</v>
      </c>
      <c r="J60" s="2" t="s">
        <v>187</v>
      </c>
      <c r="K60" s="2" t="s">
        <v>4</v>
      </c>
      <c r="L60" s="4">
        <v>45666</v>
      </c>
      <c r="M60" s="1">
        <v>1075</v>
      </c>
      <c r="N60" s="2" t="s">
        <v>5</v>
      </c>
      <c r="O60" s="2" t="s">
        <v>6</v>
      </c>
      <c r="P60" s="2" t="s">
        <v>188</v>
      </c>
      <c r="Q60" s="2" t="s">
        <v>189</v>
      </c>
      <c r="R60" s="2" t="s">
        <v>190</v>
      </c>
      <c r="S60" s="6" t="s">
        <v>271</v>
      </c>
    </row>
    <row r="61" spans="1:19" ht="33.75" x14ac:dyDescent="0.2">
      <c r="A61" s="2" t="s">
        <v>34</v>
      </c>
      <c r="B61" s="3">
        <v>45666.457002303097</v>
      </c>
      <c r="C61" s="4">
        <v>45666</v>
      </c>
      <c r="D61" s="1">
        <v>11018</v>
      </c>
      <c r="E61" s="4">
        <v>45666</v>
      </c>
      <c r="F61" s="5">
        <v>56091</v>
      </c>
      <c r="G61" s="1">
        <v>3003</v>
      </c>
      <c r="H61" s="2" t="s">
        <v>35</v>
      </c>
      <c r="I61" s="2" t="s">
        <v>180</v>
      </c>
      <c r="J61" s="2" t="s">
        <v>181</v>
      </c>
      <c r="K61" s="2" t="s">
        <v>38</v>
      </c>
      <c r="L61" s="4">
        <v>45666</v>
      </c>
      <c r="M61" s="1">
        <v>11018</v>
      </c>
      <c r="N61" s="2" t="s">
        <v>5</v>
      </c>
      <c r="O61" s="2" t="s">
        <v>6</v>
      </c>
      <c r="P61" s="2" t="s">
        <v>197</v>
      </c>
      <c r="Q61" s="2" t="s">
        <v>198</v>
      </c>
      <c r="R61" s="2" t="s">
        <v>199</v>
      </c>
      <c r="S61" s="6" t="s">
        <v>273</v>
      </c>
    </row>
    <row r="62" spans="1:19" ht="22.5" x14ac:dyDescent="0.2">
      <c r="A62" s="2" t="s">
        <v>151</v>
      </c>
      <c r="B62" s="3">
        <v>45666.452673611231</v>
      </c>
      <c r="C62" s="4">
        <v>45666</v>
      </c>
      <c r="D62" s="1">
        <v>31668</v>
      </c>
      <c r="E62" s="4">
        <v>45666</v>
      </c>
      <c r="F62" s="5">
        <v>425058</v>
      </c>
      <c r="G62" s="1">
        <v>3511</v>
      </c>
      <c r="H62" s="2" t="s">
        <v>53</v>
      </c>
      <c r="I62" s="2" t="s">
        <v>36</v>
      </c>
      <c r="J62" s="2" t="s">
        <v>37</v>
      </c>
      <c r="K62" s="2" t="s">
        <v>4</v>
      </c>
      <c r="L62" s="4">
        <v>45666</v>
      </c>
      <c r="M62" s="1">
        <v>31668</v>
      </c>
      <c r="N62" s="2" t="s">
        <v>5</v>
      </c>
      <c r="O62" s="2" t="s">
        <v>6</v>
      </c>
      <c r="P62" s="2" t="s">
        <v>200</v>
      </c>
      <c r="Q62" s="2" t="s">
        <v>201</v>
      </c>
      <c r="R62" s="2" t="s">
        <v>202</v>
      </c>
      <c r="S62" s="6" t="s">
        <v>270</v>
      </c>
    </row>
    <row r="63" spans="1:19" ht="22.5" x14ac:dyDescent="0.2">
      <c r="A63" s="2" t="s">
        <v>203</v>
      </c>
      <c r="B63" s="3">
        <v>45666.452685185242</v>
      </c>
      <c r="C63" s="4">
        <v>45666</v>
      </c>
      <c r="D63" s="1">
        <v>4917</v>
      </c>
      <c r="E63" s="4">
        <v>45666</v>
      </c>
      <c r="F63" s="5">
        <v>30066750</v>
      </c>
      <c r="G63" s="1">
        <v>3511</v>
      </c>
      <c r="H63" s="2" t="s">
        <v>53</v>
      </c>
      <c r="I63" s="2" t="s">
        <v>204</v>
      </c>
      <c r="J63" s="2" t="s">
        <v>205</v>
      </c>
      <c r="K63" s="2" t="s">
        <v>4</v>
      </c>
      <c r="L63" s="4">
        <v>45666</v>
      </c>
      <c r="M63" s="1">
        <v>4917</v>
      </c>
      <c r="N63" s="2" t="s">
        <v>5</v>
      </c>
      <c r="O63" s="2" t="s">
        <v>6</v>
      </c>
      <c r="P63" s="2" t="s">
        <v>206</v>
      </c>
      <c r="Q63" s="2" t="s">
        <v>207</v>
      </c>
      <c r="R63" s="2" t="s">
        <v>208</v>
      </c>
      <c r="S63" s="6" t="s">
        <v>270</v>
      </c>
    </row>
    <row r="64" spans="1:19" ht="56.25" x14ac:dyDescent="0.2">
      <c r="A64" s="2" t="s">
        <v>16</v>
      </c>
      <c r="B64" s="3">
        <v>45666.453483784571</v>
      </c>
      <c r="C64" s="4">
        <v>45666</v>
      </c>
      <c r="D64" s="1">
        <v>6471</v>
      </c>
      <c r="E64" s="4">
        <v>45666</v>
      </c>
      <c r="F64" s="5">
        <v>42200</v>
      </c>
      <c r="G64" s="1">
        <v>3550</v>
      </c>
      <c r="H64" s="2" t="s">
        <v>1</v>
      </c>
      <c r="I64" s="2" t="s">
        <v>17</v>
      </c>
      <c r="J64" s="2" t="s">
        <v>18</v>
      </c>
      <c r="K64" s="2" t="s">
        <v>4</v>
      </c>
      <c r="L64" s="4">
        <v>45666</v>
      </c>
      <c r="M64" s="1">
        <v>6471</v>
      </c>
      <c r="N64" s="2" t="s">
        <v>5</v>
      </c>
      <c r="O64" s="2" t="s">
        <v>6</v>
      </c>
      <c r="P64" s="2" t="s">
        <v>209</v>
      </c>
      <c r="Q64" s="2" t="s">
        <v>210</v>
      </c>
      <c r="R64" s="2" t="s">
        <v>211</v>
      </c>
      <c r="S64" s="6" t="s">
        <v>272</v>
      </c>
    </row>
    <row r="65" spans="1:19" ht="33.75" x14ac:dyDescent="0.2">
      <c r="A65" s="2" t="s">
        <v>16</v>
      </c>
      <c r="B65" s="3">
        <v>45666.453888888936</v>
      </c>
      <c r="C65" s="4">
        <v>45666</v>
      </c>
      <c r="D65" s="1">
        <v>6472</v>
      </c>
      <c r="E65" s="4">
        <v>45666</v>
      </c>
      <c r="F65" s="5">
        <v>10500</v>
      </c>
      <c r="G65" s="1">
        <v>3550</v>
      </c>
      <c r="H65" s="2" t="s">
        <v>1</v>
      </c>
      <c r="I65" s="2" t="s">
        <v>17</v>
      </c>
      <c r="J65" s="2" t="s">
        <v>18</v>
      </c>
      <c r="K65" s="2" t="s">
        <v>4</v>
      </c>
      <c r="L65" s="4">
        <v>45666</v>
      </c>
      <c r="M65" s="1">
        <v>6472</v>
      </c>
      <c r="N65" s="2" t="s">
        <v>5</v>
      </c>
      <c r="O65" s="2" t="s">
        <v>6</v>
      </c>
      <c r="P65" s="2" t="s">
        <v>212</v>
      </c>
      <c r="Q65" s="2" t="s">
        <v>213</v>
      </c>
      <c r="R65" s="2" t="s">
        <v>214</v>
      </c>
      <c r="S65" s="6" t="s">
        <v>273</v>
      </c>
    </row>
    <row r="66" spans="1:19" ht="22.5" x14ac:dyDescent="0.2">
      <c r="A66" s="2" t="s">
        <v>16</v>
      </c>
      <c r="B66" s="3">
        <v>45666.455289340112</v>
      </c>
      <c r="C66" s="4">
        <v>45666</v>
      </c>
      <c r="D66" s="1">
        <v>6473</v>
      </c>
      <c r="E66" s="4">
        <v>45666</v>
      </c>
      <c r="F66" s="5">
        <v>50000</v>
      </c>
      <c r="G66" s="1">
        <v>3550</v>
      </c>
      <c r="H66" s="2" t="s">
        <v>1</v>
      </c>
      <c r="I66" s="2" t="s">
        <v>17</v>
      </c>
      <c r="J66" s="2" t="s">
        <v>18</v>
      </c>
      <c r="K66" s="2" t="s">
        <v>4</v>
      </c>
      <c r="L66" s="4">
        <v>45666</v>
      </c>
      <c r="M66" s="1">
        <v>6473</v>
      </c>
      <c r="N66" s="2" t="s">
        <v>5</v>
      </c>
      <c r="O66" s="2" t="s">
        <v>6</v>
      </c>
      <c r="P66" s="2" t="s">
        <v>215</v>
      </c>
      <c r="Q66" s="2" t="s">
        <v>216</v>
      </c>
      <c r="R66" s="2" t="s">
        <v>217</v>
      </c>
      <c r="S66" s="6" t="s">
        <v>271</v>
      </c>
    </row>
    <row r="67" spans="1:19" ht="33.75" x14ac:dyDescent="0.2">
      <c r="A67" s="2" t="s">
        <v>34</v>
      </c>
      <c r="B67" s="3">
        <v>45666.457025451586</v>
      </c>
      <c r="C67" s="4">
        <v>45666</v>
      </c>
      <c r="D67" s="1">
        <v>13502</v>
      </c>
      <c r="E67" s="4">
        <v>45666</v>
      </c>
      <c r="F67" s="5">
        <v>4981</v>
      </c>
      <c r="G67" s="1">
        <v>3003</v>
      </c>
      <c r="H67" s="2" t="s">
        <v>35</v>
      </c>
      <c r="I67" s="2" t="s">
        <v>2</v>
      </c>
      <c r="J67" s="2" t="s">
        <v>3</v>
      </c>
      <c r="K67" s="2" t="s">
        <v>38</v>
      </c>
      <c r="L67" s="4">
        <v>45666</v>
      </c>
      <c r="M67" s="1">
        <v>13502</v>
      </c>
      <c r="N67" s="2" t="s">
        <v>5</v>
      </c>
      <c r="O67" s="2" t="s">
        <v>6</v>
      </c>
      <c r="P67" s="2" t="s">
        <v>218</v>
      </c>
      <c r="Q67" s="2" t="s">
        <v>219</v>
      </c>
      <c r="R67" s="2" t="s">
        <v>220</v>
      </c>
      <c r="S67" s="6" t="s">
        <v>273</v>
      </c>
    </row>
    <row r="68" spans="1:19" ht="22.5" x14ac:dyDescent="0.2">
      <c r="A68" s="2" t="s">
        <v>16</v>
      </c>
      <c r="B68" s="3">
        <v>45666.456689815037</v>
      </c>
      <c r="C68" s="4">
        <v>45666</v>
      </c>
      <c r="D68" s="1">
        <v>6474</v>
      </c>
      <c r="E68" s="4">
        <v>45666</v>
      </c>
      <c r="F68" s="5">
        <v>192000</v>
      </c>
      <c r="G68" s="1">
        <v>3550</v>
      </c>
      <c r="H68" s="2" t="s">
        <v>1</v>
      </c>
      <c r="I68" s="2" t="s">
        <v>17</v>
      </c>
      <c r="J68" s="2" t="s">
        <v>18</v>
      </c>
      <c r="K68" s="2" t="s">
        <v>4</v>
      </c>
      <c r="L68" s="4">
        <v>45666</v>
      </c>
      <c r="M68" s="1">
        <v>6474</v>
      </c>
      <c r="N68" s="2" t="s">
        <v>5</v>
      </c>
      <c r="O68" s="2" t="s">
        <v>6</v>
      </c>
      <c r="P68" s="2" t="s">
        <v>221</v>
      </c>
      <c r="Q68" s="2" t="s">
        <v>222</v>
      </c>
      <c r="R68" s="2" t="s">
        <v>223</v>
      </c>
      <c r="S68" s="6" t="s">
        <v>271</v>
      </c>
    </row>
    <row r="69" spans="1:19" ht="22.5" x14ac:dyDescent="0.2">
      <c r="A69" s="2" t="s">
        <v>224</v>
      </c>
      <c r="B69" s="3">
        <v>45666.45671296306</v>
      </c>
      <c r="C69" s="4">
        <v>45666</v>
      </c>
      <c r="D69" s="1">
        <v>43644</v>
      </c>
      <c r="E69" s="4">
        <v>45666</v>
      </c>
      <c r="F69" s="5">
        <v>15000</v>
      </c>
      <c r="G69" s="1">
        <v>3550</v>
      </c>
      <c r="H69" s="2" t="s">
        <v>1</v>
      </c>
      <c r="I69" s="2" t="s">
        <v>225</v>
      </c>
      <c r="J69" s="2" t="s">
        <v>226</v>
      </c>
      <c r="K69" s="2" t="s">
        <v>4</v>
      </c>
      <c r="L69" s="4">
        <v>45666</v>
      </c>
      <c r="M69" s="1">
        <v>43644</v>
      </c>
      <c r="N69" s="2" t="s">
        <v>5</v>
      </c>
      <c r="O69" s="2" t="s">
        <v>6</v>
      </c>
      <c r="P69" s="2" t="s">
        <v>227</v>
      </c>
      <c r="Q69" s="2" t="s">
        <v>228</v>
      </c>
      <c r="R69" s="2" t="s">
        <v>229</v>
      </c>
      <c r="S69" s="6" t="s">
        <v>270</v>
      </c>
    </row>
    <row r="70" spans="1:19" ht="33.75" x14ac:dyDescent="0.2">
      <c r="A70" s="2" t="s">
        <v>34</v>
      </c>
      <c r="B70" s="3">
        <v>45666.457060185261</v>
      </c>
      <c r="C70" s="4">
        <v>45666</v>
      </c>
      <c r="D70" s="1">
        <v>42927</v>
      </c>
      <c r="E70" s="4">
        <v>45666</v>
      </c>
      <c r="F70" s="5">
        <v>1000000</v>
      </c>
      <c r="G70" s="1">
        <v>3003</v>
      </c>
      <c r="H70" s="2" t="s">
        <v>35</v>
      </c>
      <c r="I70" s="2" t="s">
        <v>230</v>
      </c>
      <c r="J70" s="2" t="s">
        <v>231</v>
      </c>
      <c r="K70" s="2" t="s">
        <v>38</v>
      </c>
      <c r="L70" s="4">
        <v>45666</v>
      </c>
      <c r="M70" s="1">
        <v>42927</v>
      </c>
      <c r="N70" s="2" t="s">
        <v>5</v>
      </c>
      <c r="O70" s="2" t="s">
        <v>6</v>
      </c>
      <c r="P70" s="2" t="s">
        <v>232</v>
      </c>
      <c r="Q70" s="2" t="s">
        <v>233</v>
      </c>
      <c r="R70" s="2" t="s">
        <v>234</v>
      </c>
      <c r="S70" s="6" t="s">
        <v>273</v>
      </c>
    </row>
    <row r="71" spans="1:19" ht="56.25" x14ac:dyDescent="0.2">
      <c r="A71" s="2" t="s">
        <v>235</v>
      </c>
      <c r="B71" s="3">
        <v>45666.456782407593</v>
      </c>
      <c r="C71" s="4">
        <v>45666</v>
      </c>
      <c r="D71" s="1">
        <v>87917</v>
      </c>
      <c r="E71" s="4">
        <v>45666</v>
      </c>
      <c r="F71" s="5">
        <v>1028160</v>
      </c>
      <c r="G71" s="1">
        <v>3550</v>
      </c>
      <c r="H71" s="2" t="s">
        <v>1</v>
      </c>
      <c r="I71" s="2" t="s">
        <v>131</v>
      </c>
      <c r="J71" s="2" t="s">
        <v>132</v>
      </c>
      <c r="K71" s="2" t="s">
        <v>4</v>
      </c>
      <c r="L71" s="4">
        <v>45666</v>
      </c>
      <c r="M71" s="1">
        <v>87917</v>
      </c>
      <c r="N71" s="2" t="s">
        <v>5</v>
      </c>
      <c r="O71" s="2" t="s">
        <v>6</v>
      </c>
      <c r="P71" s="2" t="s">
        <v>236</v>
      </c>
      <c r="Q71" s="2" t="s">
        <v>237</v>
      </c>
      <c r="R71" s="2" t="s">
        <v>238</v>
      </c>
      <c r="S71" s="6" t="s">
        <v>272</v>
      </c>
    </row>
    <row r="72" spans="1:19" ht="22.5" x14ac:dyDescent="0.2">
      <c r="A72" s="2" t="s">
        <v>34</v>
      </c>
      <c r="B72" s="3">
        <v>45666.456863426138</v>
      </c>
      <c r="C72" s="4">
        <v>45666</v>
      </c>
      <c r="D72" s="1">
        <v>21276</v>
      </c>
      <c r="E72" s="4">
        <v>45666</v>
      </c>
      <c r="F72" s="5">
        <v>38</v>
      </c>
      <c r="G72" s="1">
        <v>3003</v>
      </c>
      <c r="H72" s="2" t="s">
        <v>35</v>
      </c>
      <c r="I72" s="2" t="s">
        <v>74</v>
      </c>
      <c r="J72" s="2" t="s">
        <v>75</v>
      </c>
      <c r="K72" s="2" t="s">
        <v>38</v>
      </c>
      <c r="L72" s="4">
        <v>45666</v>
      </c>
      <c r="M72" s="1">
        <v>21276</v>
      </c>
      <c r="N72" s="2" t="s">
        <v>5</v>
      </c>
      <c r="O72" s="2" t="s">
        <v>6</v>
      </c>
      <c r="P72" s="2" t="s">
        <v>239</v>
      </c>
      <c r="Q72" s="2" t="s">
        <v>240</v>
      </c>
      <c r="R72" s="2" t="s">
        <v>241</v>
      </c>
      <c r="S72" s="6" t="s">
        <v>270</v>
      </c>
    </row>
    <row r="73" spans="1:19" ht="33.75" x14ac:dyDescent="0.2">
      <c r="A73" s="2" t="s">
        <v>34</v>
      </c>
      <c r="B73" s="3">
        <v>45666.45688657416</v>
      </c>
      <c r="C73" s="4">
        <v>45666</v>
      </c>
      <c r="D73" s="1">
        <v>21277</v>
      </c>
      <c r="E73" s="4">
        <v>45666</v>
      </c>
      <c r="F73" s="5">
        <v>9</v>
      </c>
      <c r="G73" s="1">
        <v>3003</v>
      </c>
      <c r="H73" s="2" t="s">
        <v>35</v>
      </c>
      <c r="I73" s="2" t="s">
        <v>74</v>
      </c>
      <c r="J73" s="2" t="s">
        <v>75</v>
      </c>
      <c r="K73" s="2" t="s">
        <v>38</v>
      </c>
      <c r="L73" s="4">
        <v>45666</v>
      </c>
      <c r="M73" s="1">
        <v>21277</v>
      </c>
      <c r="N73" s="2" t="s">
        <v>5</v>
      </c>
      <c r="O73" s="2" t="s">
        <v>6</v>
      </c>
      <c r="P73" s="2" t="s">
        <v>242</v>
      </c>
      <c r="Q73" s="2" t="s">
        <v>243</v>
      </c>
      <c r="R73" s="2" t="s">
        <v>244</v>
      </c>
      <c r="S73" s="6" t="s">
        <v>273</v>
      </c>
    </row>
    <row r="74" spans="1:19" ht="33.75" x14ac:dyDescent="0.2">
      <c r="A74" s="2" t="s">
        <v>34</v>
      </c>
      <c r="B74" s="3">
        <v>45666.457141203806</v>
      </c>
      <c r="C74" s="4">
        <v>45666</v>
      </c>
      <c r="D74" s="1">
        <v>11164</v>
      </c>
      <c r="E74" s="4">
        <v>45666</v>
      </c>
      <c r="F74" s="5">
        <v>20</v>
      </c>
      <c r="G74" s="1">
        <v>3002</v>
      </c>
      <c r="H74" s="2" t="s">
        <v>245</v>
      </c>
      <c r="I74" s="2" t="s">
        <v>180</v>
      </c>
      <c r="J74" s="2" t="s">
        <v>181</v>
      </c>
      <c r="K74" s="2" t="s">
        <v>246</v>
      </c>
      <c r="L74" s="4">
        <v>45666</v>
      </c>
      <c r="M74" s="1">
        <v>11164</v>
      </c>
      <c r="N74" s="2" t="s">
        <v>5</v>
      </c>
      <c r="O74" s="2" t="s">
        <v>6</v>
      </c>
      <c r="P74" s="2" t="s">
        <v>247</v>
      </c>
      <c r="Q74" s="2" t="s">
        <v>248</v>
      </c>
      <c r="R74" s="2" t="s">
        <v>249</v>
      </c>
      <c r="S74" s="6" t="s">
        <v>273</v>
      </c>
    </row>
    <row r="75" spans="1:19" x14ac:dyDescent="0.2">
      <c r="A75" s="2" t="s">
        <v>250</v>
      </c>
      <c r="R75" s="12">
        <f>SUBTOTAL(103,R11:R74)</f>
        <v>64</v>
      </c>
      <c r="S75" s="6"/>
    </row>
  </sheetData>
  <conditionalFormatting sqref="A11:S74">
    <cfRule type="expression" dxfId="1" priority="1">
      <formula>$E11&gt;= TODAY()</formula>
    </cfRule>
    <cfRule type="expression" dxfId="0" priority="2" stopIfTrue="1">
      <formula>$E11&lt; TODAY()</formula>
    </cfRule>
  </conditionalFormatting>
  <pageMargins left="0.75" right="0.75" top="1" bottom="1" header="0.5" footer="0.5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Error_Emision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2025-01-09T17:05:51Z</dcterms:created>
  <dcterms:modified xsi:type="dcterms:W3CDTF">2025-01-09T17:05:53Z</dcterms:modified>
</cp:coreProperties>
</file>