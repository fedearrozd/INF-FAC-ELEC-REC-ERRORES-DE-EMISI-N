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4.168.0.65\D$\BKDESARROLLO\FEDEARROZ\FACTURACION\FACERREMI\Fac_ErrE_20250109_1200\"/>
    </mc:Choice>
  </mc:AlternateContent>
  <xr:revisionPtr revIDLastSave="0" documentId="13_ncr:9_{7CCD1821-8181-42BA-A280-841AF774A87A}" xr6:coauthVersionLast="47" xr6:coauthVersionMax="47" xr10:uidLastSave="{00000000-0000-0000-0000-000000000000}"/>
  <bookViews>
    <workbookView xWindow="-60" yWindow="-60" windowWidth="15480" windowHeight="11640" xr2:uid="{CC39E633-76F4-42B7-B389-4B3AA71D69DE}"/>
  </bookViews>
  <sheets>
    <sheet name="Error_Emision" sheetId="1" r:id="rId1"/>
  </sheets>
  <definedNames>
    <definedName name="_xlnm._FilterDatabase" localSheetId="0" hidden="1">Error_Emision!$A$7:$S$11</definedName>
    <definedName name="_xlnm.Database">Error_Emision!$A$7:$S$11</definedName>
  </definedNames>
  <calcPr calcId="191029"/>
</workbook>
</file>

<file path=xl/calcChain.xml><?xml version="1.0" encoding="utf-8"?>
<calcChain xmlns="http://schemas.openxmlformats.org/spreadsheetml/2006/main">
  <c r="R12" i="1" l="1"/>
</calcChain>
</file>

<file path=xl/sharedStrings.xml><?xml version="1.0" encoding="utf-8"?>
<sst xmlns="http://schemas.openxmlformats.org/spreadsheetml/2006/main" count="68" uniqueCount="50">
  <si>
    <t>AUD_UFAC</t>
  </si>
  <si>
    <t>CXC_NUME</t>
  </si>
  <si>
    <t>MES</t>
  </si>
  <si>
    <t>ERROR</t>
  </si>
  <si>
    <t>FAIBAGUE03</t>
  </si>
  <si>
    <t>FACTURA INVENTARIO CONTADO</t>
  </si>
  <si>
    <t>2201</t>
  </si>
  <si>
    <t>IBAGUE</t>
  </si>
  <si>
    <t>FACTURA</t>
  </si>
  <si>
    <t>2025</t>
  </si>
  <si>
    <t>01</t>
  </si>
  <si>
    <t>93088258</t>
  </si>
  <si>
    <t>FERNEY.GUZMAN ORTIZ</t>
  </si>
  <si>
    <t>guzmanferney@hotmail.com</t>
  </si>
  <si>
    <t>FAIBAGUE10</t>
  </si>
  <si>
    <t>93379192</t>
  </si>
  <si>
    <t>CARLOS ENRIQUE PARRA ORTIZ</t>
  </si>
  <si>
    <t>carlosparra@fedearroz.com.co</t>
  </si>
  <si>
    <t>93040108</t>
  </si>
  <si>
    <t>JAIRO ANTONIO MONSALVE</t>
  </si>
  <si>
    <t>saramonsalve16@gmail.com</t>
  </si>
  <si>
    <t>FACAR004</t>
  </si>
  <si>
    <t>NOTA CREDITO</t>
  </si>
  <si>
    <t>NOTACRE</t>
  </si>
  <si>
    <t>901586388</t>
  </si>
  <si>
    <t>AGROGAB MF S.A.S. .</t>
  </si>
  <si>
    <t>vidagrosas@gmail.com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</si>
  <si>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</si>
  <si>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</si>
  <si>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</si>
  <si>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</si>
  <si>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</si>
  <si>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</si>
  <si>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</si>
  <si>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</si>
  <si>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</si>
  <si>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</si>
  <si>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</si>
  <si>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</si>
  <si>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</si>
  <si>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</si>
  <si>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</si>
  <si>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</si>
  <si>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Validating: Reintente nuevamente. El documento aun se encuentra en estado validación (VALIDATING).</t>
  </si>
  <si>
    <t xml:space="preserve">Código de error: &lt;html&gt;  &lt;head&gt;&lt;title&gt;504 Gateway Time-out&lt;/title&gt;&lt;/head&gt;  &lt;body&gt;  &lt;center&gt;&lt;h1&gt;504 Gateway Time-out&lt;/h1&gt;&lt;/center&gt;  &lt;hr&gt;&lt;center&gt;Microsoft-Azure-Application-Gateway/v2&lt;/center&gt;  &lt;/body&gt;  &lt;/html&gt;  </t>
  </si>
  <si>
    <t>Código de error: {"maximumSeverityCode":"Error","eventItems":[{"errorCode":2000,"severityCode":"Error","shortDescription":"Web: The remote server returned an error: (429) Too Many Requests. | Protocol: The remote server returned an unexpected response: (429) Too Many Requests."}]}</t>
  </si>
  <si>
    <t>FEDEARROZ</t>
  </si>
  <si>
    <t>Facturación Electrónica Errores Emisión</t>
  </si>
  <si>
    <t>Corte:  [Desde 2024/05/01 - Hasta 2025/01/09]</t>
  </si>
  <si>
    <t>Fecha y Hora de Generación:  [ 20250109_1200 ]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</si>
</sst>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A01742-4BB1-424E-9CEF-9A0005642B59}" name="Errores_Emision" displayName="Errores_Emision" ref="A7:S12" totalsRowCount="1" headerRowDxfId="3" dataDxfId="42" totalsRowDxfId="43" headerRowBorderDxfId="4">
  <autoFilter ref="A7:S11" xr:uid="{BC8C055F-CB8B-4F65-AC40-9C9CC71E67C5}"/>
  <tableColumns count="19">
    <tableColumn id="1" xr3:uid="{0E5D933D-D186-4FB5-924E-498B8F9D721E}" name="USUARIO" totalsRowLabel="Total" dataDxfId="36" totalsRowDxfId="37"/>
    <tableColumn id="2" xr3:uid="{2EBC3E19-F57B-4CEF-917A-02BE39118EA0}" name="AUD_UFAC" dataDxfId="34" totalsRowDxfId="35"/>
    <tableColumn id="3" xr3:uid="{64A8507F-386D-4358-A97A-D7EEBC43909A}" name="FECH_APLICA" dataDxfId="33" totalsRowDxfId="32"/>
    <tableColumn id="4" xr3:uid="{E5764B97-E95F-4F57-95E0-7E4D3ED2A770}" name="DOCUMENTO" dataDxfId="31" totalsRowDxfId="41"/>
    <tableColumn id="5" xr3:uid="{7846373A-5819-4470-9734-C7A000E7B04C}" name="FECH_DOCUMENTO" dataDxfId="29" totalsRowDxfId="30"/>
    <tableColumn id="6" xr3:uid="{94C04882-3B59-46C6-A934-850AF05944D4}" name="FAC_VLR_TOTAL" dataDxfId="28" totalsRowDxfId="27"/>
    <tableColumn id="7" xr3:uid="{28EC9C4D-2F8D-4666-BF15-9EF0A691DE47}" name="COD_TIPO_OPERAC" dataDxfId="26" totalsRowDxfId="40"/>
    <tableColumn id="8" xr3:uid="{6B331594-226F-4BD6-8155-1A75D9B48396}" name="TIPO_OPERAC" dataDxfId="24" totalsRowDxfId="25"/>
    <tableColumn id="9" xr3:uid="{066272BD-1F59-4CB6-AE44-D984EBD78225}" name="COD_SUCUR" dataDxfId="22" totalsRowDxfId="23"/>
    <tableColumn id="10" xr3:uid="{21702049-E15A-4F04-BC23-3D6A35DC0011}" name="SUCURSAL" dataDxfId="20" totalsRowDxfId="21"/>
    <tableColumn id="11" xr3:uid="{47052530-C0AA-40DF-8624-C4F4DD5FD4BA}" name="TIPO_DOCUMENTO" dataDxfId="18" totalsRowDxfId="19"/>
    <tableColumn id="12" xr3:uid="{61F9B0A8-4306-48A2-9109-6243E29C94AB}" name="FECH_FACTURA" dataDxfId="17" totalsRowDxfId="16"/>
    <tableColumn id="13" xr3:uid="{392D952E-A201-4F5D-B9B6-5727098DBDFB}" name="CXC_NUME" dataDxfId="15" totalsRowDxfId="39"/>
    <tableColumn id="14" xr3:uid="{FD6EAFB3-502F-4E26-AD96-0D36DA97B8F5}" name="AÑO" dataDxfId="13" totalsRowDxfId="14"/>
    <tableColumn id="15" xr3:uid="{13C8F49C-02BC-4B56-B745-2CDDD326A7BD}" name="MES" dataDxfId="11" totalsRowDxfId="12"/>
    <tableColumn id="16" xr3:uid="{6B5715EF-AC4E-4059-BC9D-F7F7E4B04E8A}" name="NIT" dataDxfId="9" totalsRowDxfId="10"/>
    <tableColumn id="17" xr3:uid="{3A58E9DF-7CC8-4EC0-9F6A-D8C85D4C5208}" name="NOMBRE" dataDxfId="7" totalsRowDxfId="8"/>
    <tableColumn id="18" xr3:uid="{E8CEB3DC-8076-4669-BBA9-4FAE2D5DD9FF}" name="EMAIL" totalsRowFunction="count" dataDxfId="5" totalsRowDxfId="2"/>
    <tableColumn id="19" xr3:uid="{E0DB58BD-6FF8-4B7D-A272-61735CB0F46A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C055F-CB8B-4F65-AC40-9C9CC71E67C5}">
  <sheetPr>
    <tabColor rgb="FF92D050"/>
  </sheetPr>
  <dimension ref="A1:S12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2.1640625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0.1640625" style="3" bestFit="1" customWidth="1"/>
    <col min="17" max="17" width="30.1640625" style="3" bestFit="1" customWidth="1"/>
    <col min="18" max="18" width="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46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47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48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49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28</v>
      </c>
      <c r="B7" s="10" t="s">
        <v>0</v>
      </c>
      <c r="C7" s="11" t="s">
        <v>29</v>
      </c>
      <c r="D7" s="12" t="s">
        <v>30</v>
      </c>
      <c r="E7" s="11" t="s">
        <v>31</v>
      </c>
      <c r="F7" s="13" t="s">
        <v>32</v>
      </c>
      <c r="G7" s="12" t="s">
        <v>33</v>
      </c>
      <c r="H7" s="9" t="s">
        <v>34</v>
      </c>
      <c r="I7" s="9" t="s">
        <v>35</v>
      </c>
      <c r="J7" s="9" t="s">
        <v>36</v>
      </c>
      <c r="K7" s="9" t="s">
        <v>37</v>
      </c>
      <c r="L7" s="11" t="s">
        <v>38</v>
      </c>
      <c r="M7" s="12" t="s">
        <v>1</v>
      </c>
      <c r="N7" s="9" t="s">
        <v>39</v>
      </c>
      <c r="O7" s="9" t="s">
        <v>2</v>
      </c>
      <c r="P7" s="9" t="s">
        <v>40</v>
      </c>
      <c r="Q7" s="9" t="s">
        <v>41</v>
      </c>
      <c r="R7" s="9" t="s">
        <v>42</v>
      </c>
      <c r="S7" s="12" t="s">
        <v>3</v>
      </c>
    </row>
    <row r="8" spans="1:19" ht="22.5" x14ac:dyDescent="0.2">
      <c r="A8" s="3" t="s">
        <v>4</v>
      </c>
      <c r="B8" s="4">
        <v>45666</v>
      </c>
      <c r="C8" s="5">
        <v>45666</v>
      </c>
      <c r="D8" s="1">
        <v>48531</v>
      </c>
      <c r="E8" s="5">
        <v>45666</v>
      </c>
      <c r="F8" s="6">
        <v>58950</v>
      </c>
      <c r="G8" s="1">
        <v>3550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45666</v>
      </c>
      <c r="M8" s="1">
        <v>48531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43</v>
      </c>
    </row>
    <row r="9" spans="1:19" ht="22.5" x14ac:dyDescent="0.2">
      <c r="A9" s="3" t="s">
        <v>14</v>
      </c>
      <c r="B9" s="4">
        <v>45666</v>
      </c>
      <c r="C9" s="5">
        <v>45666</v>
      </c>
      <c r="D9" s="1">
        <v>48532</v>
      </c>
      <c r="E9" s="5">
        <v>45666</v>
      </c>
      <c r="F9" s="6">
        <v>98000</v>
      </c>
      <c r="G9" s="1">
        <v>3550</v>
      </c>
      <c r="H9" s="3" t="s">
        <v>5</v>
      </c>
      <c r="I9" s="3" t="s">
        <v>6</v>
      </c>
      <c r="J9" s="3" t="s">
        <v>7</v>
      </c>
      <c r="K9" s="3" t="s">
        <v>8</v>
      </c>
      <c r="L9" s="5">
        <v>45666</v>
      </c>
      <c r="M9" s="1">
        <v>48532</v>
      </c>
      <c r="N9" s="3" t="s">
        <v>9</v>
      </c>
      <c r="O9" s="3" t="s">
        <v>10</v>
      </c>
      <c r="P9" s="3" t="s">
        <v>15</v>
      </c>
      <c r="Q9" s="3" t="s">
        <v>16</v>
      </c>
      <c r="R9" s="3" t="s">
        <v>17</v>
      </c>
      <c r="S9" s="7" t="s">
        <v>43</v>
      </c>
    </row>
    <row r="10" spans="1:19" ht="22.5" x14ac:dyDescent="0.2">
      <c r="A10" s="3" t="s">
        <v>4</v>
      </c>
      <c r="B10" s="4">
        <v>45666</v>
      </c>
      <c r="C10" s="5">
        <v>45666</v>
      </c>
      <c r="D10" s="1">
        <v>48533</v>
      </c>
      <c r="E10" s="5">
        <v>45666</v>
      </c>
      <c r="F10" s="6">
        <v>262250</v>
      </c>
      <c r="G10" s="1">
        <v>3550</v>
      </c>
      <c r="H10" s="3" t="s">
        <v>5</v>
      </c>
      <c r="I10" s="3" t="s">
        <v>6</v>
      </c>
      <c r="J10" s="3" t="s">
        <v>7</v>
      </c>
      <c r="K10" s="3" t="s">
        <v>8</v>
      </c>
      <c r="L10" s="5">
        <v>45666</v>
      </c>
      <c r="M10" s="1">
        <v>48533</v>
      </c>
      <c r="N10" s="3" t="s">
        <v>9</v>
      </c>
      <c r="O10" s="3" t="s">
        <v>10</v>
      </c>
      <c r="P10" s="3" t="s">
        <v>18</v>
      </c>
      <c r="Q10" s="3" t="s">
        <v>19</v>
      </c>
      <c r="R10" s="3" t="s">
        <v>20</v>
      </c>
      <c r="S10" s="7" t="s">
        <v>44</v>
      </c>
    </row>
    <row r="11" spans="1:19" ht="45" x14ac:dyDescent="0.2">
      <c r="A11" s="3" t="s">
        <v>21</v>
      </c>
      <c r="B11" s="4">
        <v>45666</v>
      </c>
      <c r="C11" s="5">
        <v>45666</v>
      </c>
      <c r="D11" s="1">
        <v>13502</v>
      </c>
      <c r="E11" s="5">
        <v>45666</v>
      </c>
      <c r="F11" s="6">
        <v>4981</v>
      </c>
      <c r="G11" s="1">
        <v>3003</v>
      </c>
      <c r="H11" s="3" t="s">
        <v>22</v>
      </c>
      <c r="I11" s="3" t="s">
        <v>6</v>
      </c>
      <c r="J11" s="3" t="s">
        <v>7</v>
      </c>
      <c r="K11" s="3" t="s">
        <v>23</v>
      </c>
      <c r="L11" s="5">
        <v>45666</v>
      </c>
      <c r="M11" s="1">
        <v>13502</v>
      </c>
      <c r="N11" s="3" t="s">
        <v>9</v>
      </c>
      <c r="O11" s="3" t="s">
        <v>10</v>
      </c>
      <c r="P11" s="3" t="s">
        <v>24</v>
      </c>
      <c r="Q11" s="3" t="s">
        <v>25</v>
      </c>
      <c r="R11" s="3" t="s">
        <v>26</v>
      </c>
      <c r="S11" s="7" t="s">
        <v>45</v>
      </c>
    </row>
    <row r="12" spans="1:19" x14ac:dyDescent="0.2">
      <c r="A12" s="3" t="s">
        <v>27</v>
      </c>
      <c r="D12" s="2"/>
      <c r="G12" s="2"/>
      <c r="M12" s="2"/>
      <c r="R12" s="14">
        <f>SUBTOTAL(103,Errores_Emision[EMAIL])</f>
        <v>4</v>
      </c>
      <c r="S12" s="8"/>
    </row>
  </sheetData>
  <conditionalFormatting sqref="A8:S11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2025-01-09T17:02:57Z</dcterms:created>
  <dcterms:modified xsi:type="dcterms:W3CDTF">2025-01-09T17:02:58Z</dcterms:modified>
</cp:coreProperties>
</file>