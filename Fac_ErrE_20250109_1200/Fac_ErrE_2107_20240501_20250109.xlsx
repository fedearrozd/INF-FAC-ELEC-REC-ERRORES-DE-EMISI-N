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B6379BEB-23E8-4CE7-B0DA-6B5D9F23B202}" xr6:coauthVersionLast="47" xr6:coauthVersionMax="47" xr10:uidLastSave="{00000000-0000-0000-0000-000000000000}"/>
  <bookViews>
    <workbookView xWindow="-60" yWindow="-60" windowWidth="15480" windowHeight="11640" xr2:uid="{D50F4E78-F684-4067-95B4-36C605382E6A}"/>
  </bookViews>
  <sheets>
    <sheet name="Error_Emision" sheetId="1" r:id="rId1"/>
  </sheets>
  <definedNames>
    <definedName name="_xlnm._FilterDatabase" localSheetId="0" hidden="1">Error_Emision!$A$7:$S$21</definedName>
    <definedName name="_xlnm.Database">Error_Emision!$A$7:$S$21</definedName>
  </definedNames>
  <calcPr calcId="191029"/>
</workbook>
</file>

<file path=xl/calcChain.xml><?xml version="1.0" encoding="utf-8"?>
<calcChain xmlns="http://schemas.openxmlformats.org/spreadsheetml/2006/main">
  <c r="R22" i="1" l="1"/>
</calcChain>
</file>

<file path=xl/sharedStrings.xml><?xml version="1.0" encoding="utf-8"?>
<sst xmlns="http://schemas.openxmlformats.org/spreadsheetml/2006/main" count="178" uniqueCount="77">
  <si>
    <t>AUD_UFAC</t>
  </si>
  <si>
    <t>CXC_NUME</t>
  </si>
  <si>
    <t>MES</t>
  </si>
  <si>
    <t>ERROR</t>
  </si>
  <si>
    <t>FAFONTIBON01</t>
  </si>
  <si>
    <t>FACTURA INVENTARIO CONTADO</t>
  </si>
  <si>
    <t>2107</t>
  </si>
  <si>
    <t>BOGOTA MI TIENDA FONTIBON</t>
  </si>
  <si>
    <t>FACTURA</t>
  </si>
  <si>
    <t>2025</t>
  </si>
  <si>
    <t>01</t>
  </si>
  <si>
    <t>52935886</t>
  </si>
  <si>
    <t>CAROLINA CUELLAR</t>
  </si>
  <si>
    <t>carolinacuellar@fedearroz.com.co</t>
  </si>
  <si>
    <t>91201582</t>
  </si>
  <si>
    <t>GERARDO MORA</t>
  </si>
  <si>
    <t>germora2302@gmail.com</t>
  </si>
  <si>
    <t>1016088615</t>
  </si>
  <si>
    <t>MARIA PAULA DIAZ</t>
  </si>
  <si>
    <t>mapa1109@hotmail.com</t>
  </si>
  <si>
    <t>19369014</t>
  </si>
  <si>
    <t>JAIME BUITRAGO ESPEJO</t>
  </si>
  <si>
    <t>jaimebuitragoespejo@gmail.com</t>
  </si>
  <si>
    <t>23574167</t>
  </si>
  <si>
    <t>ANA SIXTA BAUTISTA ROBALLO</t>
  </si>
  <si>
    <t>ana.bautista@aerocivil.gov.co</t>
  </si>
  <si>
    <t>79967465</t>
  </si>
  <si>
    <t>FREDY ALEJANDRA CORTES CAMARGO</t>
  </si>
  <si>
    <t>fredycortes78@gmail.com</t>
  </si>
  <si>
    <t>41642323</t>
  </si>
  <si>
    <t>MERCEDES FORERO DE GOMEZ</t>
  </si>
  <si>
    <t>nathagf@hotmail.com</t>
  </si>
  <si>
    <t>52443549</t>
  </si>
  <si>
    <t>SANDRA MILENA VELEZ PEREZ</t>
  </si>
  <si>
    <t>sandramilenavelezperez@gmail.com</t>
  </si>
  <si>
    <t>93137238</t>
  </si>
  <si>
    <t>JUAN CARLOS BARRIOS OSUNA</t>
  </si>
  <si>
    <t>juancarlosbarriososuna@gmail.com</t>
  </si>
  <si>
    <t>16400510</t>
  </si>
  <si>
    <t>DUVIER GALVIS VALENCIA</t>
  </si>
  <si>
    <t>mariaangel122020@gmail.com</t>
  </si>
  <si>
    <t>35330829</t>
  </si>
  <si>
    <t>RUTH MARTHA GARCIA COBOS</t>
  </si>
  <si>
    <t>martha1961233@hotmail.com</t>
  </si>
  <si>
    <t>41654295</t>
  </si>
  <si>
    <t>ALCIRA CORTE BELTRAN</t>
  </si>
  <si>
    <t>alciracortebeltran57@gmail.com</t>
  </si>
  <si>
    <t>1016109333</t>
  </si>
  <si>
    <t>DIANA CAROLINA MONTAÐO</t>
  </si>
  <si>
    <t>karito0407@hotmail.es</t>
  </si>
  <si>
    <t>52738782</t>
  </si>
  <si>
    <t>ADRIANA CRISTINA VILLAMIL VILLAMIL</t>
  </si>
  <si>
    <t>adri5298@hotmail.com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</si>
  <si>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</si>
  <si>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</si>
  <si>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</si>
  <si>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</si>
  <si>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</si>
  <si>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</si>
  <si>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</si>
  <si>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</si>
  <si>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</si>
  <si>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</si>
  <si>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</si>
  <si>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</si>
  <si>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</si>
  <si>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</si>
  <si>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</si>
  <si>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</si>
  <si>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</si>
  <si>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 xml:space="preserve">Código de error: &lt;html&gt;  &lt;head&gt;&lt;title&gt;504 Gateway Time-out&lt;/title&gt;&lt;/head&gt;  &lt;body&gt;  &lt;center&gt;&lt;h1&gt;504 Gateway Time-out&lt;/h1&gt;&lt;/center&gt;  &lt;hr&gt;&lt;center&gt;Microsoft-Azure-Application-Gateway/v2&lt;/center&gt;  &lt;/body&gt;  &lt;/html&gt;  </t>
  </si>
  <si>
    <t>Código de error: {"maximumSeverityCode":"Error","eventItems":[{"errorCode":2000,"severityCode":"Error","shortDescription":"Protocol: The content type text/html of the response message does not match the content type of the binding (application/soap+xml; charset=utf-8). If using a custom encoder, be sure that the IsContentTypeSupported method is implemented properly. The first 146 bytes of the response were: '?&lt;!DOCTYPE html&gt;\r\n&lt;html&gt;\r\n&lt;head&gt;\r\n    &lt;meta charset=\"utf-8\" /&gt;\r\n    &lt;title&gt;Dian&lt;/title&gt;\r\n&lt;/head&gt;\r\n&lt;body&gt;\r\n    &lt;div&gt;Error&lt;/div&gt;\r\n&lt;/body&gt;\r\n&lt;/html&gt;'."}]}</t>
  </si>
  <si>
    <t>Código de error: {"maximumSeverityCode":"Error","eventItems":[{"errorCode":2000,"severityCode":"Error","shortDescription":"Web: The remote server returned an error: (429) Too Many Requests. | Protocol: The remote server returned an unexpected response: (429) Too Many Requests."}]}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</si>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</sst>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2D50C-6465-4825-8F27-0C993BAA809F}" name="Errores_Emision" displayName="Errores_Emision" ref="A7:S22" totalsRowCount="1" headerRowDxfId="3" dataDxfId="42" totalsRowDxfId="43" headerRowBorderDxfId="4">
  <autoFilter ref="A7:S21" xr:uid="{05A0BFAF-DC49-4434-AC8F-C81BCFF2BCFE}"/>
  <tableColumns count="19">
    <tableColumn id="1" xr3:uid="{BB30D6B0-4E75-4330-892B-5E526844F3A3}" name="USUARIO" totalsRowLabel="Total" dataDxfId="36" totalsRowDxfId="37"/>
    <tableColumn id="2" xr3:uid="{A9F4C0B7-85D4-4D76-B716-7B8AC7DEB942}" name="AUD_UFAC" dataDxfId="34" totalsRowDxfId="35"/>
    <tableColumn id="3" xr3:uid="{022EE43B-3873-47ED-B4C0-60ED76639C44}" name="FECH_APLICA" dataDxfId="33" totalsRowDxfId="32"/>
    <tableColumn id="4" xr3:uid="{10DEC76C-051D-4D27-9C2A-50796EED8E10}" name="DOCUMENTO" dataDxfId="31" totalsRowDxfId="41"/>
    <tableColumn id="5" xr3:uid="{F913D2E5-A195-433E-8E2E-4C7E1200D9C6}" name="FECH_DOCUMENTO" dataDxfId="29" totalsRowDxfId="30"/>
    <tableColumn id="6" xr3:uid="{2C7F9590-BB36-42C9-AEC2-75A00ADC0304}" name="FAC_VLR_TOTAL" dataDxfId="28" totalsRowDxfId="27"/>
    <tableColumn id="7" xr3:uid="{6963BBD8-FB58-4D22-8275-DF443496E183}" name="COD_TIPO_OPERAC" dataDxfId="26" totalsRowDxfId="40"/>
    <tableColumn id="8" xr3:uid="{9BF79C71-64C9-44FE-A07D-5934668817FF}" name="TIPO_OPERAC" dataDxfId="24" totalsRowDxfId="25"/>
    <tableColumn id="9" xr3:uid="{352D508D-5662-4B20-A1A3-C91E900D0C40}" name="COD_SUCUR" dataDxfId="22" totalsRowDxfId="23"/>
    <tableColumn id="10" xr3:uid="{FF1C8F95-2074-461D-8F07-78DE5DC02A36}" name="SUCURSAL" dataDxfId="20" totalsRowDxfId="21"/>
    <tableColumn id="11" xr3:uid="{F06DE864-2F3E-4F08-BE25-2937E286D198}" name="TIPO_DOCUMENTO" dataDxfId="18" totalsRowDxfId="19"/>
    <tableColumn id="12" xr3:uid="{F05A5AD2-DAF8-4C15-88B9-741AA74D6A46}" name="FECH_FACTURA" dataDxfId="17" totalsRowDxfId="16"/>
    <tableColumn id="13" xr3:uid="{F98D9BBC-C57E-4FB0-83A1-802C27303694}" name="CXC_NUME" dataDxfId="15" totalsRowDxfId="39"/>
    <tableColumn id="14" xr3:uid="{4EEEFE60-109B-48BF-970A-AF3A13B04E05}" name="AÑO" dataDxfId="13" totalsRowDxfId="14"/>
    <tableColumn id="15" xr3:uid="{96F85CB5-0C53-4256-A00D-4AFA45DAF2D9}" name="MES" dataDxfId="11" totalsRowDxfId="12"/>
    <tableColumn id="16" xr3:uid="{073E0493-01CD-4472-8B9E-A35620CBAADA}" name="NIT" dataDxfId="9" totalsRowDxfId="10"/>
    <tableColumn id="17" xr3:uid="{9D392805-17D5-430F-A2C9-662AAD4642EA}" name="NOMBRE" dataDxfId="7" totalsRowDxfId="8"/>
    <tableColumn id="18" xr3:uid="{28384EA9-5CCB-4FBA-A7D4-E7A86E2F92E0}" name="EMAIL" totalsRowFunction="count" dataDxfId="5" totalsRowDxfId="2"/>
    <tableColumn id="19" xr3:uid="{B00F1B87-9545-4C6A-911A-7E01E32FF35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FAF-DC49-4434-AC8F-C81BCFF2BCFE}">
  <sheetPr>
    <tabColor rgb="FF92D050"/>
  </sheetPr>
  <dimension ref="A1:S2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9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5" style="3" bestFit="1" customWidth="1"/>
    <col min="18" max="18" width="29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73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74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75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76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54</v>
      </c>
      <c r="B7" s="10" t="s">
        <v>0</v>
      </c>
      <c r="C7" s="11" t="s">
        <v>55</v>
      </c>
      <c r="D7" s="12" t="s">
        <v>56</v>
      </c>
      <c r="E7" s="11" t="s">
        <v>57</v>
      </c>
      <c r="F7" s="13" t="s">
        <v>58</v>
      </c>
      <c r="G7" s="12" t="s">
        <v>59</v>
      </c>
      <c r="H7" s="9" t="s">
        <v>60</v>
      </c>
      <c r="I7" s="9" t="s">
        <v>61</v>
      </c>
      <c r="J7" s="9" t="s">
        <v>62</v>
      </c>
      <c r="K7" s="9" t="s">
        <v>63</v>
      </c>
      <c r="L7" s="11" t="s">
        <v>64</v>
      </c>
      <c r="M7" s="12" t="s">
        <v>1</v>
      </c>
      <c r="N7" s="9" t="s">
        <v>65</v>
      </c>
      <c r="O7" s="9" t="s">
        <v>2</v>
      </c>
      <c r="P7" s="9" t="s">
        <v>66</v>
      </c>
      <c r="Q7" s="9" t="s">
        <v>67</v>
      </c>
      <c r="R7" s="9" t="s">
        <v>68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6461</v>
      </c>
      <c r="E8" s="5">
        <v>45666</v>
      </c>
      <c r="F8" s="6">
        <v>15000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6461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69</v>
      </c>
    </row>
    <row r="9" spans="1:19" ht="22.5" x14ac:dyDescent="0.2">
      <c r="A9" s="3" t="s">
        <v>4</v>
      </c>
      <c r="B9" s="4">
        <v>45666</v>
      </c>
      <c r="C9" s="5">
        <v>45666</v>
      </c>
      <c r="D9" s="1">
        <v>6462</v>
      </c>
      <c r="E9" s="5">
        <v>45666</v>
      </c>
      <c r="F9" s="6">
        <v>50000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45666</v>
      </c>
      <c r="M9" s="1">
        <v>6462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70</v>
      </c>
    </row>
    <row r="10" spans="1:19" ht="22.5" x14ac:dyDescent="0.2">
      <c r="A10" s="3" t="s">
        <v>4</v>
      </c>
      <c r="B10" s="4">
        <v>45666</v>
      </c>
      <c r="C10" s="5">
        <v>45666</v>
      </c>
      <c r="D10" s="1">
        <v>6463</v>
      </c>
      <c r="E10" s="5">
        <v>45666</v>
      </c>
      <c r="F10" s="6">
        <v>52500</v>
      </c>
      <c r="G10" s="1">
        <v>3550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45666</v>
      </c>
      <c r="M10" s="1">
        <v>6463</v>
      </c>
      <c r="N10" s="3" t="s">
        <v>9</v>
      </c>
      <c r="O10" s="3" t="s">
        <v>10</v>
      </c>
      <c r="P10" s="3" t="s">
        <v>17</v>
      </c>
      <c r="Q10" s="3" t="s">
        <v>18</v>
      </c>
      <c r="R10" s="3" t="s">
        <v>19</v>
      </c>
      <c r="S10" s="7" t="s">
        <v>69</v>
      </c>
    </row>
    <row r="11" spans="1:19" ht="22.5" x14ac:dyDescent="0.2">
      <c r="A11" s="3" t="s">
        <v>4</v>
      </c>
      <c r="B11" s="4">
        <v>45666</v>
      </c>
      <c r="C11" s="5">
        <v>45666</v>
      </c>
      <c r="D11" s="1">
        <v>6464</v>
      </c>
      <c r="E11" s="5">
        <v>45666</v>
      </c>
      <c r="F11" s="6">
        <v>50000</v>
      </c>
      <c r="G11" s="1">
        <v>3550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45666</v>
      </c>
      <c r="M11" s="1">
        <v>6464</v>
      </c>
      <c r="N11" s="3" t="s">
        <v>9</v>
      </c>
      <c r="O11" s="3" t="s">
        <v>10</v>
      </c>
      <c r="P11" s="3" t="s">
        <v>20</v>
      </c>
      <c r="Q11" s="3" t="s">
        <v>21</v>
      </c>
      <c r="R11" s="3" t="s">
        <v>22</v>
      </c>
      <c r="S11" s="7" t="s">
        <v>70</v>
      </c>
    </row>
    <row r="12" spans="1:19" ht="67.5" x14ac:dyDescent="0.2">
      <c r="A12" s="3" t="s">
        <v>4</v>
      </c>
      <c r="B12" s="4">
        <v>45666</v>
      </c>
      <c r="C12" s="5">
        <v>45666</v>
      </c>
      <c r="D12" s="1">
        <v>6465</v>
      </c>
      <c r="E12" s="5">
        <v>45666</v>
      </c>
      <c r="F12" s="6">
        <v>12500</v>
      </c>
      <c r="G12" s="1">
        <v>3550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45666</v>
      </c>
      <c r="M12" s="1">
        <v>6465</v>
      </c>
      <c r="N12" s="3" t="s">
        <v>9</v>
      </c>
      <c r="O12" s="3" t="s">
        <v>10</v>
      </c>
      <c r="P12" s="3" t="s">
        <v>23</v>
      </c>
      <c r="Q12" s="3" t="s">
        <v>24</v>
      </c>
      <c r="R12" s="3" t="s">
        <v>25</v>
      </c>
      <c r="S12" s="7" t="s">
        <v>71</v>
      </c>
    </row>
    <row r="13" spans="1:19" ht="45" x14ac:dyDescent="0.2">
      <c r="A13" s="3" t="s">
        <v>4</v>
      </c>
      <c r="B13" s="4">
        <v>45666</v>
      </c>
      <c r="C13" s="5">
        <v>45666</v>
      </c>
      <c r="D13" s="1">
        <v>6466</v>
      </c>
      <c r="E13" s="5">
        <v>45666</v>
      </c>
      <c r="F13" s="6">
        <v>20500</v>
      </c>
      <c r="G13" s="1">
        <v>3550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45666</v>
      </c>
      <c r="M13" s="1">
        <v>6466</v>
      </c>
      <c r="N13" s="3" t="s">
        <v>9</v>
      </c>
      <c r="O13" s="3" t="s">
        <v>10</v>
      </c>
      <c r="P13" s="3" t="s">
        <v>26</v>
      </c>
      <c r="Q13" s="3" t="s">
        <v>27</v>
      </c>
      <c r="R13" s="3" t="s">
        <v>28</v>
      </c>
      <c r="S13" s="7" t="s">
        <v>72</v>
      </c>
    </row>
    <row r="14" spans="1:19" ht="22.5" x14ac:dyDescent="0.2">
      <c r="A14" s="3" t="s">
        <v>4</v>
      </c>
      <c r="B14" s="4">
        <v>45666</v>
      </c>
      <c r="C14" s="5">
        <v>45666</v>
      </c>
      <c r="D14" s="1">
        <v>6467</v>
      </c>
      <c r="E14" s="5">
        <v>45666</v>
      </c>
      <c r="F14" s="6">
        <v>110500</v>
      </c>
      <c r="G14" s="1">
        <v>3550</v>
      </c>
      <c r="H14" s="3" t="s">
        <v>5</v>
      </c>
      <c r="I14" s="3" t="s">
        <v>6</v>
      </c>
      <c r="J14" s="3" t="s">
        <v>7</v>
      </c>
      <c r="K14" s="3" t="s">
        <v>8</v>
      </c>
      <c r="L14" s="5">
        <v>45666</v>
      </c>
      <c r="M14" s="1">
        <v>6467</v>
      </c>
      <c r="N14" s="3" t="s">
        <v>9</v>
      </c>
      <c r="O14" s="3" t="s">
        <v>10</v>
      </c>
      <c r="P14" s="3" t="s">
        <v>29</v>
      </c>
      <c r="Q14" s="3" t="s">
        <v>30</v>
      </c>
      <c r="R14" s="3" t="s">
        <v>31</v>
      </c>
      <c r="S14" s="7" t="s">
        <v>69</v>
      </c>
    </row>
    <row r="15" spans="1:19" ht="22.5" x14ac:dyDescent="0.2">
      <c r="A15" s="3" t="s">
        <v>4</v>
      </c>
      <c r="B15" s="4">
        <v>45666</v>
      </c>
      <c r="C15" s="5">
        <v>45666</v>
      </c>
      <c r="D15" s="1">
        <v>6468</v>
      </c>
      <c r="E15" s="5">
        <v>45666</v>
      </c>
      <c r="F15" s="6">
        <v>10500</v>
      </c>
      <c r="G15" s="1">
        <v>3550</v>
      </c>
      <c r="H15" s="3" t="s">
        <v>5</v>
      </c>
      <c r="I15" s="3" t="s">
        <v>6</v>
      </c>
      <c r="J15" s="3" t="s">
        <v>7</v>
      </c>
      <c r="K15" s="3" t="s">
        <v>8</v>
      </c>
      <c r="L15" s="5">
        <v>45666</v>
      </c>
      <c r="M15" s="1">
        <v>6468</v>
      </c>
      <c r="N15" s="3" t="s">
        <v>9</v>
      </c>
      <c r="O15" s="3" t="s">
        <v>10</v>
      </c>
      <c r="P15" s="3" t="s">
        <v>32</v>
      </c>
      <c r="Q15" s="3" t="s">
        <v>33</v>
      </c>
      <c r="R15" s="3" t="s">
        <v>34</v>
      </c>
      <c r="S15" s="7" t="s">
        <v>69</v>
      </c>
    </row>
    <row r="16" spans="1:19" ht="22.5" x14ac:dyDescent="0.2">
      <c r="A16" s="3" t="s">
        <v>4</v>
      </c>
      <c r="B16" s="4">
        <v>45666</v>
      </c>
      <c r="C16" s="5">
        <v>45666</v>
      </c>
      <c r="D16" s="1">
        <v>6469</v>
      </c>
      <c r="E16" s="5">
        <v>45666</v>
      </c>
      <c r="F16" s="6">
        <v>22500</v>
      </c>
      <c r="G16" s="1">
        <v>3550</v>
      </c>
      <c r="H16" s="3" t="s">
        <v>5</v>
      </c>
      <c r="I16" s="3" t="s">
        <v>6</v>
      </c>
      <c r="J16" s="3" t="s">
        <v>7</v>
      </c>
      <c r="K16" s="3" t="s">
        <v>8</v>
      </c>
      <c r="L16" s="5">
        <v>45666</v>
      </c>
      <c r="M16" s="1">
        <v>6469</v>
      </c>
      <c r="N16" s="3" t="s">
        <v>9</v>
      </c>
      <c r="O16" s="3" t="s">
        <v>10</v>
      </c>
      <c r="P16" s="3" t="s">
        <v>35</v>
      </c>
      <c r="Q16" s="3" t="s">
        <v>36</v>
      </c>
      <c r="R16" s="3" t="s">
        <v>37</v>
      </c>
      <c r="S16" s="7" t="s">
        <v>69</v>
      </c>
    </row>
    <row r="17" spans="1:19" ht="22.5" x14ac:dyDescent="0.2">
      <c r="A17" s="3" t="s">
        <v>4</v>
      </c>
      <c r="B17" s="4">
        <v>45666</v>
      </c>
      <c r="C17" s="5">
        <v>45666</v>
      </c>
      <c r="D17" s="1">
        <v>6470</v>
      </c>
      <c r="E17" s="5">
        <v>45666</v>
      </c>
      <c r="F17" s="6">
        <v>15000</v>
      </c>
      <c r="G17" s="1">
        <v>3550</v>
      </c>
      <c r="H17" s="3" t="s">
        <v>5</v>
      </c>
      <c r="I17" s="3" t="s">
        <v>6</v>
      </c>
      <c r="J17" s="3" t="s">
        <v>7</v>
      </c>
      <c r="K17" s="3" t="s">
        <v>8</v>
      </c>
      <c r="L17" s="5">
        <v>45666</v>
      </c>
      <c r="M17" s="1">
        <v>6470</v>
      </c>
      <c r="N17" s="3" t="s">
        <v>9</v>
      </c>
      <c r="O17" s="3" t="s">
        <v>10</v>
      </c>
      <c r="P17" s="3" t="s">
        <v>38</v>
      </c>
      <c r="Q17" s="3" t="s">
        <v>39</v>
      </c>
      <c r="R17" s="3" t="s">
        <v>40</v>
      </c>
      <c r="S17" s="7" t="s">
        <v>69</v>
      </c>
    </row>
    <row r="18" spans="1:19" ht="67.5" x14ac:dyDescent="0.2">
      <c r="A18" s="3" t="s">
        <v>4</v>
      </c>
      <c r="B18" s="4">
        <v>45666</v>
      </c>
      <c r="C18" s="5">
        <v>45666</v>
      </c>
      <c r="D18" s="1">
        <v>6471</v>
      </c>
      <c r="E18" s="5">
        <v>45666</v>
      </c>
      <c r="F18" s="6">
        <v>42200</v>
      </c>
      <c r="G18" s="1">
        <v>3550</v>
      </c>
      <c r="H18" s="3" t="s">
        <v>5</v>
      </c>
      <c r="I18" s="3" t="s">
        <v>6</v>
      </c>
      <c r="J18" s="3" t="s">
        <v>7</v>
      </c>
      <c r="K18" s="3" t="s">
        <v>8</v>
      </c>
      <c r="L18" s="5">
        <v>45666</v>
      </c>
      <c r="M18" s="1">
        <v>6471</v>
      </c>
      <c r="N18" s="3" t="s">
        <v>9</v>
      </c>
      <c r="O18" s="3" t="s">
        <v>10</v>
      </c>
      <c r="P18" s="3" t="s">
        <v>41</v>
      </c>
      <c r="Q18" s="3" t="s">
        <v>42</v>
      </c>
      <c r="R18" s="3" t="s">
        <v>43</v>
      </c>
      <c r="S18" s="7" t="s">
        <v>71</v>
      </c>
    </row>
    <row r="19" spans="1:19" ht="45" x14ac:dyDescent="0.2">
      <c r="A19" s="3" t="s">
        <v>4</v>
      </c>
      <c r="B19" s="4">
        <v>45666</v>
      </c>
      <c r="C19" s="5">
        <v>45666</v>
      </c>
      <c r="D19" s="1">
        <v>6472</v>
      </c>
      <c r="E19" s="5">
        <v>45666</v>
      </c>
      <c r="F19" s="6">
        <v>10500</v>
      </c>
      <c r="G19" s="1">
        <v>3550</v>
      </c>
      <c r="H19" s="3" t="s">
        <v>5</v>
      </c>
      <c r="I19" s="3" t="s">
        <v>6</v>
      </c>
      <c r="J19" s="3" t="s">
        <v>7</v>
      </c>
      <c r="K19" s="3" t="s">
        <v>8</v>
      </c>
      <c r="L19" s="5">
        <v>45666</v>
      </c>
      <c r="M19" s="1">
        <v>6472</v>
      </c>
      <c r="N19" s="3" t="s">
        <v>9</v>
      </c>
      <c r="O19" s="3" t="s">
        <v>10</v>
      </c>
      <c r="P19" s="3" t="s">
        <v>44</v>
      </c>
      <c r="Q19" s="3" t="s">
        <v>45</v>
      </c>
      <c r="R19" s="3" t="s">
        <v>46</v>
      </c>
      <c r="S19" s="7" t="s">
        <v>72</v>
      </c>
    </row>
    <row r="20" spans="1:19" ht="22.5" x14ac:dyDescent="0.2">
      <c r="A20" s="3" t="s">
        <v>4</v>
      </c>
      <c r="B20" s="4">
        <v>45666</v>
      </c>
      <c r="C20" s="5">
        <v>45666</v>
      </c>
      <c r="D20" s="1">
        <v>6473</v>
      </c>
      <c r="E20" s="5">
        <v>45666</v>
      </c>
      <c r="F20" s="6">
        <v>50000</v>
      </c>
      <c r="G20" s="1">
        <v>3550</v>
      </c>
      <c r="H20" s="3" t="s">
        <v>5</v>
      </c>
      <c r="I20" s="3" t="s">
        <v>6</v>
      </c>
      <c r="J20" s="3" t="s">
        <v>7</v>
      </c>
      <c r="K20" s="3" t="s">
        <v>8</v>
      </c>
      <c r="L20" s="5">
        <v>45666</v>
      </c>
      <c r="M20" s="1">
        <v>6473</v>
      </c>
      <c r="N20" s="3" t="s">
        <v>9</v>
      </c>
      <c r="O20" s="3" t="s">
        <v>10</v>
      </c>
      <c r="P20" s="3" t="s">
        <v>47</v>
      </c>
      <c r="Q20" s="3" t="s">
        <v>48</v>
      </c>
      <c r="R20" s="3" t="s">
        <v>49</v>
      </c>
      <c r="S20" s="7" t="s">
        <v>70</v>
      </c>
    </row>
    <row r="21" spans="1:19" ht="22.5" x14ac:dyDescent="0.2">
      <c r="A21" s="3" t="s">
        <v>4</v>
      </c>
      <c r="B21" s="4">
        <v>45666</v>
      </c>
      <c r="C21" s="5">
        <v>45666</v>
      </c>
      <c r="D21" s="1">
        <v>6474</v>
      </c>
      <c r="E21" s="5">
        <v>45666</v>
      </c>
      <c r="F21" s="6">
        <v>192000</v>
      </c>
      <c r="G21" s="1">
        <v>3550</v>
      </c>
      <c r="H21" s="3" t="s">
        <v>5</v>
      </c>
      <c r="I21" s="3" t="s">
        <v>6</v>
      </c>
      <c r="J21" s="3" t="s">
        <v>7</v>
      </c>
      <c r="K21" s="3" t="s">
        <v>8</v>
      </c>
      <c r="L21" s="5">
        <v>45666</v>
      </c>
      <c r="M21" s="1">
        <v>6474</v>
      </c>
      <c r="N21" s="3" t="s">
        <v>9</v>
      </c>
      <c r="O21" s="3" t="s">
        <v>10</v>
      </c>
      <c r="P21" s="3" t="s">
        <v>50</v>
      </c>
      <c r="Q21" s="3" t="s">
        <v>51</v>
      </c>
      <c r="R21" s="3" t="s">
        <v>52</v>
      </c>
      <c r="S21" s="7" t="s">
        <v>70</v>
      </c>
    </row>
    <row r="22" spans="1:19" x14ac:dyDescent="0.2">
      <c r="A22" s="3" t="s">
        <v>53</v>
      </c>
      <c r="D22" s="2"/>
      <c r="G22" s="2"/>
      <c r="M22" s="2"/>
      <c r="R22" s="14">
        <f>SUBTOTAL(103,Errores_Emision[EMAIL])</f>
        <v>14</v>
      </c>
      <c r="S22" s="8"/>
    </row>
  </sheetData>
  <conditionalFormatting sqref="A8:S2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2025-01-09T17:02:49Z</dcterms:created>
  <dcterms:modified xsi:type="dcterms:W3CDTF">2025-01-09T17:02:51Z</dcterms:modified>
</cp:coreProperties>
</file>