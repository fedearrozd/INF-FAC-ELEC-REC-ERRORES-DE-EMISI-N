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59115565-F4A7-4FA1-ADAB-6E5566DFCC29}" xr6:coauthVersionLast="47" xr6:coauthVersionMax="47" xr10:uidLastSave="{00000000-0000-0000-0000-000000000000}"/>
  <bookViews>
    <workbookView xWindow="2295" yWindow="2295" windowWidth="21600" windowHeight="11385" xr2:uid="{F90EE1CA-E625-4C8D-89C9-8F1F704A461F}"/>
  </bookViews>
  <sheets>
    <sheet name="Error_Emision" sheetId="1" r:id="rId1"/>
  </sheets>
  <definedNames>
    <definedName name="_xlnm._FilterDatabase" localSheetId="0" hidden="1">Error_Emision!$A$7:$S$9</definedName>
    <definedName name="_xlnm.Database">Error_Emision!$A$7:$S$9</definedName>
  </definedNames>
  <calcPr calcId="191029"/>
</workbook>
</file>

<file path=xl/calcChain.xml><?xml version="1.0" encoding="utf-8"?>
<calcChain xmlns="http://schemas.openxmlformats.org/spreadsheetml/2006/main">
  <c r="R10" i="1" l="1"/>
</calcChain>
</file>

<file path=xl/sharedStrings.xml><?xml version="1.0" encoding="utf-8"?>
<sst xmlns="http://schemas.openxmlformats.org/spreadsheetml/2006/main" count="46" uniqueCount="43">
  <si>
    <t>AUD_UFAC</t>
  </si>
  <si>
    <t>CXC_NUME</t>
  </si>
  <si>
    <t>MES</t>
  </si>
  <si>
    <t>ERROR</t>
  </si>
  <si>
    <t>facom009</t>
  </si>
  <si>
    <t>FACTURA INVENTARIO CONTADO</t>
  </si>
  <si>
    <t>2403</t>
  </si>
  <si>
    <t>PTO SERV.AMBALEMA</t>
  </si>
  <si>
    <t>FACTURA</t>
  </si>
  <si>
    <t>2024</t>
  </si>
  <si>
    <t>07</t>
  </si>
  <si>
    <t>93293564</t>
  </si>
  <si>
    <t>SAUL DIAZ GARCIA</t>
  </si>
  <si>
    <t>.</t>
  </si>
  <si>
    <t>FACAR002</t>
  </si>
  <si>
    <t>NOTA CREDITO</t>
  </si>
  <si>
    <t>NOTACRE</t>
  </si>
  <si>
    <t>05</t>
  </si>
  <si>
    <t>5882770</t>
  </si>
  <si>
    <t>HERNAN LEONIDAS MENDEZ ZAMORA</t>
  </si>
  <si>
    <t>mendezhorta@hotmail.com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</si>
  <si>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</si>
  <si>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</si>
  <si>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</si>
  <si>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</si>
  <si>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</si>
  <si>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</si>
  <si>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</si>
  <si>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</si>
  <si>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</si>
  <si>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</si>
  <si>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</si>
  <si>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</si>
  <si>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</si>
  <si>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</si>
  <si>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</si>
  <si>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</si>
  <si>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[240312278].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</si>
  <si>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[24P240311298]. Descripción: [Validación contiene errores en campos mandatorios.] - Errores: [Regla: ZB01, Rechazo: Error en el esquemeeeee - cvc-datatype-valid.1.2.1: '' is not a valid value for 'date'. - ,Regla: CAD09e, Rechazo: La fecha de generación de la NC es diferente a la fecha de firma de la NC,Regla: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</si>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</sst>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BD9346-571C-448C-A567-EB57547A6DEA}" name="Errores_Emision" displayName="Errores_Emision" ref="A7:S10" totalsRowCount="1" headerRowDxfId="3" dataDxfId="42" totalsRowDxfId="43" headerRowBorderDxfId="4">
  <autoFilter ref="A7:S9" xr:uid="{A069A112-586E-42C1-996F-91956F5381C6}"/>
  <tableColumns count="19">
    <tableColumn id="1" xr3:uid="{F876C397-1E2B-4A9A-8E55-7370D8019E40}" name="USUARIO" totalsRowLabel="Total" dataDxfId="36" totalsRowDxfId="37"/>
    <tableColumn id="2" xr3:uid="{9191F867-3D8E-49EE-8286-8AFF04ECEA3F}" name="AUD_UFAC" dataDxfId="34" totalsRowDxfId="35"/>
    <tableColumn id="3" xr3:uid="{5A7BE404-B0D6-4FEB-BC87-D870E19239C4}" name="FECH_APLICA" dataDxfId="33" totalsRowDxfId="32"/>
    <tableColumn id="4" xr3:uid="{E6E8AE7A-4AAE-4CA6-9C90-7FB097D24144}" name="DOCUMENTO" dataDxfId="31" totalsRowDxfId="41"/>
    <tableColumn id="5" xr3:uid="{BF7FE056-760B-4EFC-AC2E-D92F5A7B9CC9}" name="FECH_DOCUMENTO" dataDxfId="29" totalsRowDxfId="30"/>
    <tableColumn id="6" xr3:uid="{F0F8293B-23F8-4B38-BE4F-705892E4D44A}" name="FAC_VLR_TOTAL" dataDxfId="28" totalsRowDxfId="27"/>
    <tableColumn id="7" xr3:uid="{747E9868-CA11-40F6-8A1D-F09939223EC3}" name="COD_TIPO_OPERAC" dataDxfId="26" totalsRowDxfId="40"/>
    <tableColumn id="8" xr3:uid="{BEF921E5-3319-40F2-9421-C946DEEA1446}" name="TIPO_OPERAC" dataDxfId="24" totalsRowDxfId="25"/>
    <tableColumn id="9" xr3:uid="{F0042F4E-D01A-47CC-9B88-6C755DF34713}" name="COD_SUCUR" dataDxfId="22" totalsRowDxfId="23"/>
    <tableColumn id="10" xr3:uid="{65EFE991-FC38-4BA0-88B1-175C01AAF3AD}" name="SUCURSAL" dataDxfId="20" totalsRowDxfId="21"/>
    <tableColumn id="11" xr3:uid="{64217AA0-D06C-43FB-B6D5-B18BF8F8ECD5}" name="TIPO_DOCUMENTO" dataDxfId="18" totalsRowDxfId="19"/>
    <tableColumn id="12" xr3:uid="{43171EB0-2A26-4958-9F11-2A5ADA34B266}" name="FECH_FACTURA" dataDxfId="17" totalsRowDxfId="16"/>
    <tableColumn id="13" xr3:uid="{7C1A32DD-88BD-4F68-A767-F5FC36E4F4C4}" name="CXC_NUME" dataDxfId="15" totalsRowDxfId="39"/>
    <tableColumn id="14" xr3:uid="{0D7E1284-F51F-4CDD-82CC-67160DC66007}" name="AÑO" dataDxfId="13" totalsRowDxfId="14"/>
    <tableColumn id="15" xr3:uid="{34CFAB8C-5DC9-4020-918F-B2D009D22E16}" name="MES" dataDxfId="11" totalsRowDxfId="12"/>
    <tableColumn id="16" xr3:uid="{85DCB659-C916-441C-BA46-BE0E2443A6DF}" name="NIT" dataDxfId="9" totalsRowDxfId="10"/>
    <tableColumn id="17" xr3:uid="{149EE141-BBAA-4C9D-BA20-83868543F2BD}" name="NOMBRE" dataDxfId="7" totalsRowDxfId="8"/>
    <tableColumn id="18" xr3:uid="{F960A133-43B2-4B73-818A-8F6C651DB71E}" name="EMAIL" totalsRowFunction="count" dataDxfId="5" totalsRowDxfId="2"/>
    <tableColumn id="19" xr3:uid="{C6CB9E74-0126-4BB2-9F54-A9FE1679D5AD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A112-586E-42C1-996F-91956F5381C6}">
  <sheetPr>
    <tabColor rgb="FF92D050"/>
  </sheetPr>
  <dimension ref="A1:S10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21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6" style="3" bestFit="1" customWidth="1"/>
    <col min="18" max="18" width="23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39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40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41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42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22</v>
      </c>
      <c r="B7" s="10" t="s">
        <v>0</v>
      </c>
      <c r="C7" s="11" t="s">
        <v>23</v>
      </c>
      <c r="D7" s="12" t="s">
        <v>24</v>
      </c>
      <c r="E7" s="11" t="s">
        <v>25</v>
      </c>
      <c r="F7" s="13" t="s">
        <v>26</v>
      </c>
      <c r="G7" s="12" t="s">
        <v>27</v>
      </c>
      <c r="H7" s="9" t="s">
        <v>28</v>
      </c>
      <c r="I7" s="9" t="s">
        <v>29</v>
      </c>
      <c r="J7" s="9" t="s">
        <v>30</v>
      </c>
      <c r="K7" s="9" t="s">
        <v>31</v>
      </c>
      <c r="L7" s="11" t="s">
        <v>32</v>
      </c>
      <c r="M7" s="12" t="s">
        <v>1</v>
      </c>
      <c r="N7" s="9" t="s">
        <v>33</v>
      </c>
      <c r="O7" s="9" t="s">
        <v>2</v>
      </c>
      <c r="P7" s="9" t="s">
        <v>34</v>
      </c>
      <c r="Q7" s="9" t="s">
        <v>35</v>
      </c>
      <c r="R7" s="9" t="s">
        <v>36</v>
      </c>
      <c r="S7" s="12" t="s">
        <v>3</v>
      </c>
    </row>
    <row r="8" spans="1:19" ht="56.25" x14ac:dyDescent="0.2">
      <c r="A8" s="3" t="s">
        <v>4</v>
      </c>
      <c r="B8" s="4">
        <v>45506</v>
      </c>
      <c r="C8" s="5">
        <v>45491</v>
      </c>
      <c r="D8" s="1">
        <v>12278</v>
      </c>
      <c r="E8" s="5">
        <v>45491</v>
      </c>
      <c r="F8" s="6">
        <v>56600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45491</v>
      </c>
      <c r="M8" s="1">
        <v>12278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37</v>
      </c>
    </row>
    <row r="9" spans="1:19" ht="78.75" x14ac:dyDescent="0.2">
      <c r="A9" s="3" t="s">
        <v>14</v>
      </c>
      <c r="B9" s="4">
        <v>45419</v>
      </c>
      <c r="C9" s="5">
        <v>45418</v>
      </c>
      <c r="D9" s="1">
        <v>11298</v>
      </c>
      <c r="E9" s="5">
        <v>45418</v>
      </c>
      <c r="F9" s="6">
        <v>8</v>
      </c>
      <c r="G9" s="1">
        <v>3003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45418</v>
      </c>
      <c r="M9" s="1">
        <v>11298</v>
      </c>
      <c r="N9" s="3" t="s">
        <v>9</v>
      </c>
      <c r="O9" s="3" t="s">
        <v>17</v>
      </c>
      <c r="P9" s="3" t="s">
        <v>18</v>
      </c>
      <c r="Q9" s="3" t="s">
        <v>19</v>
      </c>
      <c r="R9" s="3" t="s">
        <v>20</v>
      </c>
      <c r="S9" s="7" t="s">
        <v>38</v>
      </c>
    </row>
    <row r="10" spans="1:19" x14ac:dyDescent="0.2">
      <c r="A10" s="3" t="s">
        <v>21</v>
      </c>
      <c r="D10" s="2"/>
      <c r="G10" s="2"/>
      <c r="M10" s="2"/>
      <c r="R10" s="14">
        <f>SUBTOTAL(103,Errores_Emision[EMAIL])</f>
        <v>2</v>
      </c>
      <c r="S10" s="8"/>
    </row>
  </sheetData>
  <conditionalFormatting sqref="A8:S9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2024-12-26T16:01:00Z</dcterms:created>
  <dcterms:modified xsi:type="dcterms:W3CDTF">2024-12-26T16:01:02Z</dcterms:modified>
</cp:coreProperties>
</file>