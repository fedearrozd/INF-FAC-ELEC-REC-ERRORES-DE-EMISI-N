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26_1058\"/>
    </mc:Choice>
  </mc:AlternateContent>
  <xr:revisionPtr revIDLastSave="0" documentId="13_ncr:9_{17E1CF53-FEF5-4DD1-BBBC-DAAE50DEDCB1}" xr6:coauthVersionLast="47" xr6:coauthVersionMax="47" xr10:uidLastSave="{00000000-0000-0000-0000-000000000000}"/>
  <bookViews>
    <workbookView xWindow="2295" yWindow="2295" windowWidth="21600" windowHeight="11385" xr2:uid="{9D4BD535-421F-46EA-B28D-EBCEAA95C143}"/>
  </bookViews>
  <sheets>
    <sheet name="Error_Emision" sheetId="1" r:id="rId1"/>
  </sheets>
  <definedNames>
    <definedName name="_xlnm._FilterDatabase" localSheetId="0" hidden="1">Error_Emision!$A$7:$S$9</definedName>
    <definedName name="_xlnm.Database">Error_Emision!$A$7:$S$9</definedName>
  </definedNames>
  <calcPr calcId="191029"/>
</workbook>
</file>

<file path=xl/calcChain.xml><?xml version="1.0" encoding="utf-8"?>
<calcChain xmlns="http://schemas.openxmlformats.org/spreadsheetml/2006/main">
  <c r="R10" i="1" l="1"/>
</calcChain>
</file>

<file path=xl/sharedStrings.xml><?xml version="1.0" encoding="utf-8"?>
<sst xmlns="http://schemas.openxmlformats.org/spreadsheetml/2006/main" count="46" uniqueCount="42">
  <si>
    <t>AUD_UFAC</t>
  </si>
  <si>
    <t>CXC_NUME</t>
  </si>
  <si>
    <t>MES</t>
  </si>
  <si>
    <t>ERROR</t>
  </si>
  <si>
    <t>FAPORECED09</t>
  </si>
  <si>
    <t>FACTURA INVENTARIO</t>
  </si>
  <si>
    <t>3601</t>
  </si>
  <si>
    <t>FEDEARROZ PORE CEDIS</t>
  </si>
  <si>
    <t>FACTURA</t>
  </si>
  <si>
    <t>2024</t>
  </si>
  <si>
    <t>07</t>
  </si>
  <si>
    <t>900480569</t>
  </si>
  <si>
    <t>JERONIMO MARTINS COLOMBIA SAS .</t>
  </si>
  <si>
    <t>recepcion.facturas@jeronimo-martins.co</t>
  </si>
  <si>
    <t>FAPORECED12</t>
  </si>
  <si>
    <t>FACTURA INVENTARIO CONTADO</t>
  </si>
  <si>
    <t>08</t>
  </si>
  <si>
    <t>7223989</t>
  </si>
  <si>
    <t>LUIS ARCADIO MORALES TORRES</t>
  </si>
  <si>
    <t>.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</si>
  <si>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</si>
  <si>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</si>
  <si>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</si>
  <si>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</si>
  <si>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</si>
  <si>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</si>
  <si>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</si>
  <si>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</si>
  <si>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</si>
  <si>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</si>
  <si>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</si>
  <si>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</si>
  <si>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</si>
  <si>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</si>
  <si>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</si>
  <si>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</si>
  <si>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InvalidDocument: DIAN: Ocurrió un error al enviar el documento [36018224]. Descripción: [Validación contiene errores en campos mandatorios.] - Errores: [Regla: FAD09e, Rechazo: Valida que fecha de generación de la factura sea igual a la fecha de firma,Regla: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</si>
  <si>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[36018298]. Descripción: [Validación contiene errores en campos mandatorios.] - Errores: [Regla: FAD09e, Rechazo: Valida que fecha de generación de la factura sea igual a la fecha de firma,Regla: FAK41, Notificación: EL contenido de este elemento no corresponde al Nombre y codigo válido.,Regla: RUT01, Notificación: La validación del estado del RUT próximamente estará disponible.,Regla: RUT01, Notificación: La validación del estado del RUT próximamente estará disponible.]</t>
  </si>
  <si>
    <t>FEDEARROZ</t>
  </si>
  <si>
    <t>Facturación Electrónica Errores Emisión</t>
  </si>
  <si>
    <t>Corte:  [ Desde 2024/05/01- Hasta 2024/12/26 ]</t>
  </si>
  <si>
    <t>Fecha y Hora de Generación:  [ 20241226_1058 ]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</si>
</sst>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3B7396-742B-406B-A4B9-F9EEC455EE87}" name="Errores_Emision" displayName="Errores_Emision" ref="A7:S10" totalsRowCount="1" headerRowDxfId="3" dataDxfId="42" totalsRowDxfId="43" headerRowBorderDxfId="4">
  <autoFilter ref="A7:S9" xr:uid="{F7777625-6F2A-4371-8881-E6FE4092542A}"/>
  <tableColumns count="19">
    <tableColumn id="1" xr3:uid="{ECDFD8A9-BF66-4B3E-A9BD-585D3BCCC265}" name="USUARIO" totalsRowLabel="Total" dataDxfId="36" totalsRowDxfId="37"/>
    <tableColumn id="2" xr3:uid="{D53D2551-FDE0-49FB-B822-2D9ED22C53FF}" name="AUD_UFAC" dataDxfId="34" totalsRowDxfId="35"/>
    <tableColumn id="3" xr3:uid="{809392C0-B572-4505-A4DB-DAD32F923348}" name="FECH_APLICA" dataDxfId="33" totalsRowDxfId="32"/>
    <tableColumn id="4" xr3:uid="{5B828F05-9743-4B63-A5EB-62FB0EAC2812}" name="DOCUMENTO" dataDxfId="31" totalsRowDxfId="41"/>
    <tableColumn id="5" xr3:uid="{56D1BE79-CE02-40FC-ABAD-291F67F74527}" name="FECH_DOCUMENTO" dataDxfId="29" totalsRowDxfId="30"/>
    <tableColumn id="6" xr3:uid="{F39AE0A7-DC73-469A-93E1-4142DD4ED745}" name="FAC_VLR_TOTAL" dataDxfId="28" totalsRowDxfId="27"/>
    <tableColumn id="7" xr3:uid="{8620E78B-7F37-49A3-BC65-830AE7DC1488}" name="COD_TIPO_OPERAC" dataDxfId="26" totalsRowDxfId="40"/>
    <tableColumn id="8" xr3:uid="{06B1066E-A31D-46F6-9522-31C05B4A20EF}" name="TIPO_OPERAC" dataDxfId="24" totalsRowDxfId="25"/>
    <tableColumn id="9" xr3:uid="{5AE49743-0D68-4389-B857-CE76B78C1474}" name="COD_SUCUR" dataDxfId="22" totalsRowDxfId="23"/>
    <tableColumn id="10" xr3:uid="{76FE3955-747B-4997-9D8D-F6C51E0A3253}" name="SUCURSAL" dataDxfId="20" totalsRowDxfId="21"/>
    <tableColumn id="11" xr3:uid="{5FF5F32E-18FD-427C-A2B7-058427883573}" name="TIPO_DOCUMENTO" dataDxfId="18" totalsRowDxfId="19"/>
    <tableColumn id="12" xr3:uid="{5C2C51DA-A813-49CD-8961-8DC668746237}" name="FECH_FACTURA" dataDxfId="17" totalsRowDxfId="16"/>
    <tableColumn id="13" xr3:uid="{3FA16B6B-A090-4988-B05D-3182ABBEF0E5}" name="CXC_NUME" dataDxfId="15" totalsRowDxfId="39"/>
    <tableColumn id="14" xr3:uid="{67C11D2B-5E0B-47C7-8222-534964D6C907}" name="AÑO" dataDxfId="13" totalsRowDxfId="14"/>
    <tableColumn id="15" xr3:uid="{77561E25-0193-48E2-BB5D-8551384B0275}" name="MES" dataDxfId="11" totalsRowDxfId="12"/>
    <tableColumn id="16" xr3:uid="{3DA1E724-FDCE-4E43-A02F-2838B5B30169}" name="NIT" dataDxfId="9" totalsRowDxfId="10"/>
    <tableColumn id="17" xr3:uid="{59FFC0CE-FF5C-4BB2-B728-3876754D878E}" name="NOMBRE" dataDxfId="7" totalsRowDxfId="8"/>
    <tableColumn id="18" xr3:uid="{8AB72E98-246F-4CCE-814E-3E4BF0CDA4D0}" name="EMAIL" totalsRowFunction="count" dataDxfId="5" totalsRowDxfId="2"/>
    <tableColumn id="19" xr3:uid="{1C2D2668-EB66-48AA-9552-E9BDB17CF01D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77625-6F2A-4371-8881-E6FE4092542A}">
  <sheetPr>
    <tabColor rgb="FF92D050"/>
  </sheetPr>
  <dimension ref="A1:S10"/>
  <sheetViews>
    <sheetView showGridLines="0" tabSelected="1" workbookViewId="0"/>
  </sheetViews>
  <sheetFormatPr baseColWidth="10" defaultRowHeight="11.25" x14ac:dyDescent="0.2"/>
  <cols>
    <col min="1" max="1" width="1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32.1640625" style="3" bestFit="1" customWidth="1"/>
    <col min="9" max="9" width="17.6640625" style="3" bestFit="1" customWidth="1"/>
    <col min="10" max="10" width="23.3320312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10.1640625" style="3" bestFit="1" customWidth="1"/>
    <col min="17" max="17" width="34.83203125" style="3" bestFit="1" customWidth="1"/>
    <col min="18" max="18" width="33.33203125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38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39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40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41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21</v>
      </c>
      <c r="B7" s="10" t="s">
        <v>0</v>
      </c>
      <c r="C7" s="11" t="s">
        <v>22</v>
      </c>
      <c r="D7" s="12" t="s">
        <v>23</v>
      </c>
      <c r="E7" s="11" t="s">
        <v>24</v>
      </c>
      <c r="F7" s="13" t="s">
        <v>25</v>
      </c>
      <c r="G7" s="12" t="s">
        <v>26</v>
      </c>
      <c r="H7" s="9" t="s">
        <v>27</v>
      </c>
      <c r="I7" s="9" t="s">
        <v>28</v>
      </c>
      <c r="J7" s="9" t="s">
        <v>29</v>
      </c>
      <c r="K7" s="9" t="s">
        <v>30</v>
      </c>
      <c r="L7" s="11" t="s">
        <v>31</v>
      </c>
      <c r="M7" s="12" t="s">
        <v>1</v>
      </c>
      <c r="N7" s="9" t="s">
        <v>32</v>
      </c>
      <c r="O7" s="9" t="s">
        <v>2</v>
      </c>
      <c r="P7" s="9" t="s">
        <v>33</v>
      </c>
      <c r="Q7" s="9" t="s">
        <v>34</v>
      </c>
      <c r="R7" s="9" t="s">
        <v>35</v>
      </c>
      <c r="S7" s="12" t="s">
        <v>3</v>
      </c>
    </row>
    <row r="8" spans="1:19" ht="56.25" x14ac:dyDescent="0.2">
      <c r="A8" s="3" t="s">
        <v>4</v>
      </c>
      <c r="B8" s="4">
        <v>45506</v>
      </c>
      <c r="C8" s="5">
        <v>45491</v>
      </c>
      <c r="D8" s="1">
        <v>8224</v>
      </c>
      <c r="E8" s="5">
        <v>45491</v>
      </c>
      <c r="F8" s="6">
        <v>44880000</v>
      </c>
      <c r="G8" s="1">
        <v>3511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45491</v>
      </c>
      <c r="M8" s="1">
        <v>8224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36</v>
      </c>
    </row>
    <row r="9" spans="1:19" ht="56.25" x14ac:dyDescent="0.2">
      <c r="A9" s="3" t="s">
        <v>14</v>
      </c>
      <c r="B9" s="4">
        <v>45568</v>
      </c>
      <c r="C9" s="5">
        <v>45512</v>
      </c>
      <c r="D9" s="1">
        <v>8298</v>
      </c>
      <c r="E9" s="5">
        <v>45512</v>
      </c>
      <c r="F9" s="6">
        <v>39000</v>
      </c>
      <c r="G9" s="1">
        <v>3550</v>
      </c>
      <c r="H9" s="3" t="s">
        <v>15</v>
      </c>
      <c r="I9" s="3" t="s">
        <v>6</v>
      </c>
      <c r="J9" s="3" t="s">
        <v>7</v>
      </c>
      <c r="K9" s="3" t="s">
        <v>8</v>
      </c>
      <c r="L9" s="5">
        <v>45512</v>
      </c>
      <c r="M9" s="1">
        <v>8298</v>
      </c>
      <c r="N9" s="3" t="s">
        <v>9</v>
      </c>
      <c r="O9" s="3" t="s">
        <v>16</v>
      </c>
      <c r="P9" s="3" t="s">
        <v>17</v>
      </c>
      <c r="Q9" s="3" t="s">
        <v>18</v>
      </c>
      <c r="R9" s="3" t="s">
        <v>19</v>
      </c>
      <c r="S9" s="7" t="s">
        <v>37</v>
      </c>
    </row>
    <row r="10" spans="1:19" x14ac:dyDescent="0.2">
      <c r="A10" s="3" t="s">
        <v>20</v>
      </c>
      <c r="D10" s="2"/>
      <c r="G10" s="2"/>
      <c r="M10" s="2"/>
      <c r="R10" s="14">
        <f>SUBTOTAL(103,Errores_Emision[EMAIL])</f>
        <v>2</v>
      </c>
      <c r="S10" s="8"/>
    </row>
  </sheetData>
  <conditionalFormatting sqref="A8:S9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2024-12-26T16:03:56Z</dcterms:created>
  <dcterms:modified xsi:type="dcterms:W3CDTF">2024-12-26T16:03:58Z</dcterms:modified>
</cp:coreProperties>
</file>