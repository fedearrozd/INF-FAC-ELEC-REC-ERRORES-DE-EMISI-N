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C7F91EF3-0748-4F3C-8D83-D3897810947C}" xr6:coauthVersionLast="47" xr6:coauthVersionMax="47" xr10:uidLastSave="{00000000-0000-0000-0000-000000000000}"/>
  <bookViews>
    <workbookView xWindow="2295" yWindow="2295" windowWidth="21600" windowHeight="11385" xr2:uid="{BE75061B-8B1D-490E-9597-3471999F7E98}"/>
  </bookViews>
  <sheets>
    <sheet name="Error_Emision" sheetId="1" r:id="rId1"/>
  </sheets>
  <definedNames>
    <definedName name="_xlnm._FilterDatabase" localSheetId="0" hidden="1">Error_Emision!$A$7:$S$13</definedName>
    <definedName name="_xlnm.Database">Error_Emision!$A$7:$S$13</definedName>
  </definedNames>
  <calcPr calcId="191029"/>
</workbook>
</file>

<file path=xl/calcChain.xml><?xml version="1.0" encoding="utf-8"?>
<calcChain xmlns="http://schemas.openxmlformats.org/spreadsheetml/2006/main">
  <c r="R14" i="1" l="1"/>
</calcChain>
</file>

<file path=xl/sharedStrings.xml><?xml version="1.0" encoding="utf-8"?>
<sst xmlns="http://schemas.openxmlformats.org/spreadsheetml/2006/main" count="90" uniqueCount="60">
  <si>
    <t>AUD_UFAC</t>
  </si>
  <si>
    <t>CXC_NUME</t>
  </si>
  <si>
    <t>MES</t>
  </si>
  <si>
    <t>ERROR</t>
  </si>
  <si>
    <t>FACAR002</t>
  </si>
  <si>
    <t>NOTA CREDITO</t>
  </si>
  <si>
    <t>6650</t>
  </si>
  <si>
    <t>PL PORE ETC</t>
  </si>
  <si>
    <t>NOTACRE</t>
  </si>
  <si>
    <t>2024</t>
  </si>
  <si>
    <t>05</t>
  </si>
  <si>
    <t>900276962</t>
  </si>
  <si>
    <t>D 1 S A S .</t>
  </si>
  <si>
    <t>facturacionelectronica@d1.com.co</t>
  </si>
  <si>
    <t>FAPLPORE15</t>
  </si>
  <si>
    <t>NC ANULACION FACTURA ADMINISTRA CLIENTE</t>
  </si>
  <si>
    <t>74750290</t>
  </si>
  <si>
    <t>JOSE EDUARDO VELANDIA OTALORA .</t>
  </si>
  <si>
    <t>josevelandia60@hotmail.com</t>
  </si>
  <si>
    <t>FAPLPORE23</t>
  </si>
  <si>
    <t>FACTURA  ADMINISTRATIVA</t>
  </si>
  <si>
    <t>FACTURA</t>
  </si>
  <si>
    <t>08</t>
  </si>
  <si>
    <t>17267854</t>
  </si>
  <si>
    <t>YORMAN DISNEY OBANDO CANO</t>
  </si>
  <si>
    <t>yobandoc.1981@gmail.com</t>
  </si>
  <si>
    <t>FAPLPore04</t>
  </si>
  <si>
    <t>900742089</t>
  </si>
  <si>
    <t>ALTRIA CROP CARE S.A.S</t>
  </si>
  <si>
    <t>facturacion@altria.technology</t>
  </si>
  <si>
    <t>facon023</t>
  </si>
  <si>
    <t>21181654</t>
  </si>
  <si>
    <t>MARIA EFIGENIA VELANDIA DUARTE</t>
  </si>
  <si>
    <t>.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</si>
  <si>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</si>
  <si>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</si>
  <si>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</si>
  <si>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</si>
  <si>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</si>
  <si>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</si>
  <si>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</si>
  <si>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</si>
  <si>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</si>
  <si>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</si>
  <si>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</si>
  <si>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</si>
  <si>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</si>
  <si>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</si>
  <si>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</si>
  <si>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</si>
  <si>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[24P665011172].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</si>
  <si>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[24P665011175]. Descripción: [Validación contiene errores en campos mandatorios.] - Errores: [Regla: CAE02, Rechazo: No fue informado el inicio del periodo de facturación que modifica esta nota crédito y/o el periodo informado es de un mes diferente superando los 30 días calendario.,Regla: CAE04, Rechazo: No fue informado el inicio del periodo de facturación que modifica esta nota crédito y/o el periodo informado es de un mes diferente superando los 30 días calendario.,Regla: ZB01, Rechazo: Error en el esquemeeeee - cvc-datatype-valid.1.2.1: '' is not a valid value for 'date'. - ,Regla: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</si>
  <si>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[24P665011176]. Descripción: [Validación contiene errores en campos mandatorios.] - Errores: [Regla: CAE04, Rechazo: No fue informado el inicio del periodo de facturación que modifica esta nota crédito y/o el periodo informado es de un mes diferente superando los 30 días calendario.,Regla: CAE02, Rechazo: No fue informado el inicio del periodo de facturación que modifica esta nota crédito y/o el periodo informado es de un mes diferente superando los 30 días calendario.,Regla: ZB01, Rechazo: Error en el esquemeeeee - cvc-datatype-valid.1.2.1: '' is not a valid value for 'date'. - ,Regla: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</si>
  <si>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[665015970].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</si>
  <si>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[665015995]. Descripción: [Validación contiene errores en campos mandatorios.] - Errores: [Regla: FAD09e, Rechazo: Valida que fecha de generación de la factura sea igual a la fecha de firma,Regla: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</si>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</sst>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C52F6B-B9C1-42C5-82E4-1E56F974FC6A}" name="Errores_Emision" displayName="Errores_Emision" ref="A7:S14" totalsRowCount="1" headerRowDxfId="3" dataDxfId="42" totalsRowDxfId="43" headerRowBorderDxfId="4">
  <autoFilter ref="A7:S13" xr:uid="{3AD42B9E-56AD-4FF9-8CF4-F1FA1FE7CFC3}"/>
  <tableColumns count="19">
    <tableColumn id="1" xr3:uid="{E873B9A9-EDDD-484A-A6C8-A72C75C357CA}" name="USUARIO" totalsRowLabel="Total" dataDxfId="36" totalsRowDxfId="37"/>
    <tableColumn id="2" xr3:uid="{7828DE9D-E600-4D42-9C13-168D035861E4}" name="AUD_UFAC" dataDxfId="34" totalsRowDxfId="35"/>
    <tableColumn id="3" xr3:uid="{616201E0-8245-4779-8AA7-027D8438553B}" name="FECH_APLICA" dataDxfId="33" totalsRowDxfId="32"/>
    <tableColumn id="4" xr3:uid="{C3BE621A-1454-4AC9-A91E-4A3B26CFF109}" name="DOCUMENTO" dataDxfId="31" totalsRowDxfId="41"/>
    <tableColumn id="5" xr3:uid="{DE6D247D-A7DF-4BA2-AFC5-ABD08D784C28}" name="FECH_DOCUMENTO" dataDxfId="29" totalsRowDxfId="30"/>
    <tableColumn id="6" xr3:uid="{4A4303AC-0099-40F7-B4CF-682A828F578E}" name="FAC_VLR_TOTAL" dataDxfId="28" totalsRowDxfId="27"/>
    <tableColumn id="7" xr3:uid="{192EBAE8-400B-4446-8CA7-B62CB89FB0B2}" name="COD_TIPO_OPERAC" dataDxfId="26" totalsRowDxfId="40"/>
    <tableColumn id="8" xr3:uid="{91F39EF4-5191-4DB2-8745-8160DEFD3408}" name="TIPO_OPERAC" dataDxfId="24" totalsRowDxfId="25"/>
    <tableColumn id="9" xr3:uid="{D21D0134-9DC2-4811-BDA3-ABE967DFCC4B}" name="COD_SUCUR" dataDxfId="22" totalsRowDxfId="23"/>
    <tableColumn id="10" xr3:uid="{A858BE84-83C3-4EF9-AB3F-A96B929139DC}" name="SUCURSAL" dataDxfId="20" totalsRowDxfId="21"/>
    <tableColumn id="11" xr3:uid="{1310CDE5-45F9-4F1B-944C-B9DDC0EFFE65}" name="TIPO_DOCUMENTO" dataDxfId="18" totalsRowDxfId="19"/>
    <tableColumn id="12" xr3:uid="{FA6C3B78-CE5C-417E-BB79-87724055F84C}" name="FECH_FACTURA" dataDxfId="17" totalsRowDxfId="16"/>
    <tableColumn id="13" xr3:uid="{0F5062E5-BA53-46D8-8786-D93FEECD3419}" name="CXC_NUME" dataDxfId="15" totalsRowDxfId="39"/>
    <tableColumn id="14" xr3:uid="{631D0305-1FD2-4539-900D-430044697D78}" name="AÑO" dataDxfId="13" totalsRowDxfId="14"/>
    <tableColumn id="15" xr3:uid="{FDCE8814-4A61-4E46-BF76-0125098B85FA}" name="MES" dataDxfId="11" totalsRowDxfId="12"/>
    <tableColumn id="16" xr3:uid="{AB95F6DE-555A-4685-A1A4-330C3D8E5861}" name="NIT" dataDxfId="9" totalsRowDxfId="10"/>
    <tableColumn id="17" xr3:uid="{1E61BBB6-DFF9-4F3F-B0BE-719E6E77A521}" name="NOMBRE" dataDxfId="7" totalsRowDxfId="8"/>
    <tableColumn id="18" xr3:uid="{142BB687-A7F1-4D5A-A9BA-F049E5F0C894}" name="EMAIL" totalsRowFunction="count" dataDxfId="5" totalsRowDxfId="2"/>
    <tableColumn id="19" xr3:uid="{D08BEF22-FCD6-4BAA-9EF9-AA96A589DC9A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42B9E-56AD-4FF9-8CF4-F1FA1FE7CFC3}">
  <sheetPr>
    <tabColor rgb="FF92D050"/>
  </sheetPr>
  <dimension ref="A1:S14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4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35.83203125" style="3" bestFit="1" customWidth="1"/>
    <col min="18" max="18" width="28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56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57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58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59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35</v>
      </c>
      <c r="B7" s="10" t="s">
        <v>0</v>
      </c>
      <c r="C7" s="11" t="s">
        <v>36</v>
      </c>
      <c r="D7" s="12" t="s">
        <v>37</v>
      </c>
      <c r="E7" s="11" t="s">
        <v>38</v>
      </c>
      <c r="F7" s="13" t="s">
        <v>39</v>
      </c>
      <c r="G7" s="12" t="s">
        <v>40</v>
      </c>
      <c r="H7" s="9" t="s">
        <v>41</v>
      </c>
      <c r="I7" s="9" t="s">
        <v>42</v>
      </c>
      <c r="J7" s="9" t="s">
        <v>43</v>
      </c>
      <c r="K7" s="9" t="s">
        <v>44</v>
      </c>
      <c r="L7" s="11" t="s">
        <v>45</v>
      </c>
      <c r="M7" s="12" t="s">
        <v>1</v>
      </c>
      <c r="N7" s="9" t="s">
        <v>46</v>
      </c>
      <c r="O7" s="9" t="s">
        <v>2</v>
      </c>
      <c r="P7" s="9" t="s">
        <v>47</v>
      </c>
      <c r="Q7" s="9" t="s">
        <v>48</v>
      </c>
      <c r="R7" s="9" t="s">
        <v>49</v>
      </c>
      <c r="S7" s="12" t="s">
        <v>3</v>
      </c>
    </row>
    <row r="8" spans="1:19" ht="67.5" x14ac:dyDescent="0.2">
      <c r="A8" s="3" t="s">
        <v>4</v>
      </c>
      <c r="B8" s="4">
        <v>45415</v>
      </c>
      <c r="C8" s="5">
        <v>45415</v>
      </c>
      <c r="D8" s="1">
        <v>11172</v>
      </c>
      <c r="E8" s="5">
        <v>45415</v>
      </c>
      <c r="F8" s="6">
        <v>104252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45415</v>
      </c>
      <c r="M8" s="1">
        <v>11172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50</v>
      </c>
    </row>
    <row r="9" spans="1:19" ht="112.5" x14ac:dyDescent="0.2">
      <c r="A9" s="3" t="s">
        <v>14</v>
      </c>
      <c r="B9" s="4">
        <v>45441</v>
      </c>
      <c r="C9" s="5">
        <v>45437</v>
      </c>
      <c r="D9" s="1">
        <v>11175</v>
      </c>
      <c r="E9" s="5">
        <v>45437</v>
      </c>
      <c r="F9" s="6">
        <v>22000000</v>
      </c>
      <c r="G9" s="1">
        <v>3011</v>
      </c>
      <c r="H9" s="3" t="s">
        <v>15</v>
      </c>
      <c r="I9" s="3" t="s">
        <v>6</v>
      </c>
      <c r="J9" s="3" t="s">
        <v>7</v>
      </c>
      <c r="K9" s="3" t="s">
        <v>8</v>
      </c>
      <c r="L9" s="5">
        <v>45437</v>
      </c>
      <c r="M9" s="1">
        <v>11175</v>
      </c>
      <c r="N9" s="3" t="s">
        <v>9</v>
      </c>
      <c r="O9" s="3" t="s">
        <v>10</v>
      </c>
      <c r="P9" s="3" t="s">
        <v>16</v>
      </c>
      <c r="Q9" s="3" t="s">
        <v>17</v>
      </c>
      <c r="R9" s="3" t="s">
        <v>18</v>
      </c>
      <c r="S9" s="7" t="s">
        <v>51</v>
      </c>
    </row>
    <row r="10" spans="1:19" ht="112.5" x14ac:dyDescent="0.2">
      <c r="A10" s="3" t="s">
        <v>14</v>
      </c>
      <c r="B10" s="4">
        <v>45441</v>
      </c>
      <c r="C10" s="5">
        <v>45437</v>
      </c>
      <c r="D10" s="1">
        <v>11176</v>
      </c>
      <c r="E10" s="5">
        <v>45437</v>
      </c>
      <c r="F10" s="6">
        <v>8800000</v>
      </c>
      <c r="G10" s="1">
        <v>3011</v>
      </c>
      <c r="H10" s="3" t="s">
        <v>15</v>
      </c>
      <c r="I10" s="3" t="s">
        <v>6</v>
      </c>
      <c r="J10" s="3" t="s">
        <v>7</v>
      </c>
      <c r="K10" s="3" t="s">
        <v>8</v>
      </c>
      <c r="L10" s="5">
        <v>45437</v>
      </c>
      <c r="M10" s="1">
        <v>11176</v>
      </c>
      <c r="N10" s="3" t="s">
        <v>9</v>
      </c>
      <c r="O10" s="3" t="s">
        <v>10</v>
      </c>
      <c r="P10" s="3" t="s">
        <v>16</v>
      </c>
      <c r="Q10" s="3" t="s">
        <v>17</v>
      </c>
      <c r="R10" s="3" t="s">
        <v>18</v>
      </c>
      <c r="S10" s="7" t="s">
        <v>52</v>
      </c>
    </row>
    <row r="11" spans="1:19" ht="56.25" x14ac:dyDescent="0.2">
      <c r="A11" s="3" t="s">
        <v>19</v>
      </c>
      <c r="B11" s="4">
        <v>45568</v>
      </c>
      <c r="C11" s="5">
        <v>45533</v>
      </c>
      <c r="D11" s="1">
        <v>15970</v>
      </c>
      <c r="E11" s="5">
        <v>45533</v>
      </c>
      <c r="F11" s="6">
        <v>1196924</v>
      </c>
      <c r="G11" s="1">
        <v>3001</v>
      </c>
      <c r="H11" s="3" t="s">
        <v>20</v>
      </c>
      <c r="I11" s="3" t="s">
        <v>6</v>
      </c>
      <c r="J11" s="3" t="s">
        <v>7</v>
      </c>
      <c r="K11" s="3" t="s">
        <v>21</v>
      </c>
      <c r="L11" s="5">
        <v>45533</v>
      </c>
      <c r="M11" s="1">
        <v>15970</v>
      </c>
      <c r="N11" s="3" t="s">
        <v>9</v>
      </c>
      <c r="O11" s="3" t="s">
        <v>22</v>
      </c>
      <c r="P11" s="3" t="s">
        <v>23</v>
      </c>
      <c r="Q11" s="3" t="s">
        <v>24</v>
      </c>
      <c r="R11" s="3" t="s">
        <v>25</v>
      </c>
      <c r="S11" s="7" t="s">
        <v>53</v>
      </c>
    </row>
    <row r="12" spans="1:19" ht="56.25" x14ac:dyDescent="0.2">
      <c r="A12" s="3" t="s">
        <v>26</v>
      </c>
      <c r="B12" s="4">
        <v>45568</v>
      </c>
      <c r="C12" s="5">
        <v>45534</v>
      </c>
      <c r="D12" s="1">
        <v>15995</v>
      </c>
      <c r="E12" s="5">
        <v>45533</v>
      </c>
      <c r="F12" s="6">
        <v>325280</v>
      </c>
      <c r="G12" s="1">
        <v>3001</v>
      </c>
      <c r="H12" s="3" t="s">
        <v>20</v>
      </c>
      <c r="I12" s="3" t="s">
        <v>6</v>
      </c>
      <c r="J12" s="3" t="s">
        <v>7</v>
      </c>
      <c r="K12" s="3" t="s">
        <v>21</v>
      </c>
      <c r="L12" s="5">
        <v>45533</v>
      </c>
      <c r="M12" s="1">
        <v>15995</v>
      </c>
      <c r="N12" s="3" t="s">
        <v>9</v>
      </c>
      <c r="O12" s="3" t="s">
        <v>22</v>
      </c>
      <c r="P12" s="3" t="s">
        <v>27</v>
      </c>
      <c r="Q12" s="3" t="s">
        <v>28</v>
      </c>
      <c r="R12" s="3" t="s">
        <v>29</v>
      </c>
      <c r="S12" s="7" t="s">
        <v>54</v>
      </c>
    </row>
    <row r="13" spans="1:19" x14ac:dyDescent="0.2">
      <c r="A13" s="3" t="s">
        <v>30</v>
      </c>
      <c r="B13" s="4">
        <v>45434</v>
      </c>
      <c r="C13" s="5">
        <v>45442</v>
      </c>
      <c r="D13" s="1">
        <v>11173</v>
      </c>
      <c r="E13" s="5">
        <v>45442</v>
      </c>
      <c r="F13" s="6">
        <v>461</v>
      </c>
      <c r="G13" s="1">
        <v>3003</v>
      </c>
      <c r="H13" s="3" t="s">
        <v>5</v>
      </c>
      <c r="I13" s="3" t="s">
        <v>6</v>
      </c>
      <c r="J13" s="3" t="s">
        <v>7</v>
      </c>
      <c r="K13" s="3" t="s">
        <v>8</v>
      </c>
      <c r="L13" s="5">
        <v>45442</v>
      </c>
      <c r="M13" s="1">
        <v>11173</v>
      </c>
      <c r="N13" s="3" t="s">
        <v>9</v>
      </c>
      <c r="O13" s="3" t="s">
        <v>10</v>
      </c>
      <c r="P13" s="3" t="s">
        <v>31</v>
      </c>
      <c r="Q13" s="3" t="s">
        <v>32</v>
      </c>
      <c r="R13" s="3" t="s">
        <v>33</v>
      </c>
      <c r="S13" s="7" t="s">
        <v>55</v>
      </c>
    </row>
    <row r="14" spans="1:19" x14ac:dyDescent="0.2">
      <c r="A14" s="3" t="s">
        <v>34</v>
      </c>
      <c r="D14" s="2"/>
      <c r="G14" s="2"/>
      <c r="M14" s="2"/>
      <c r="R14" s="14">
        <f>SUBTOTAL(103,Errores_Emision[EMAIL])</f>
        <v>6</v>
      </c>
      <c r="S14" s="8"/>
    </row>
  </sheetData>
  <conditionalFormatting sqref="A8:S13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2024-12-26T16:08:34Z</dcterms:created>
  <dcterms:modified xsi:type="dcterms:W3CDTF">2024-12-26T16:08:36Z</dcterms:modified>
</cp:coreProperties>
</file>