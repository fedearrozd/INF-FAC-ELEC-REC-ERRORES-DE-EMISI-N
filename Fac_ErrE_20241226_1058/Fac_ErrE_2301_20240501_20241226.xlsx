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682DAF31-7894-4E98-8DBC-042337F16991}" xr6:coauthVersionLast="47" xr6:coauthVersionMax="47" xr10:uidLastSave="{00000000-0000-0000-0000-000000000000}"/>
  <bookViews>
    <workbookView xWindow="2295" yWindow="2295" windowWidth="21600" windowHeight="11385" xr2:uid="{C2F0498D-FAA8-479A-8F4B-E0B4292D3117}"/>
  </bookViews>
  <sheets>
    <sheet name="Error_Emision" sheetId="1" r:id="rId1"/>
  </sheets>
  <definedNames>
    <definedName name="_xlnm._FilterDatabase" localSheetId="0" hidden="1">Error_Emision!$A$7:$S$23</definedName>
    <definedName name="_xlnm.Database">Error_Emision!$A$7:$S$23</definedName>
  </definedNames>
  <calcPr calcId="191029"/>
</workbook>
</file>

<file path=xl/calcChain.xml><?xml version="1.0" encoding="utf-8"?>
<calcChain xmlns="http://schemas.openxmlformats.org/spreadsheetml/2006/main">
  <c r="R24" i="1" l="1"/>
</calcChain>
</file>

<file path=xl/sharedStrings.xml><?xml version="1.0" encoding="utf-8"?>
<sst xmlns="http://schemas.openxmlformats.org/spreadsheetml/2006/main" count="200" uniqueCount="97">
  <si>
    <t>AUD_UFAC</t>
  </si>
  <si>
    <t>CXC_NUME</t>
  </si>
  <si>
    <t>MES</t>
  </si>
  <si>
    <t>ERROR</t>
  </si>
  <si>
    <t>facon023</t>
  </si>
  <si>
    <t>NOTA CREDITO</t>
  </si>
  <si>
    <t>2301</t>
  </si>
  <si>
    <t>ESPINAL</t>
  </si>
  <si>
    <t>NOTACRE</t>
  </si>
  <si>
    <t>2024</t>
  </si>
  <si>
    <t>05</t>
  </si>
  <si>
    <t>900476528</t>
  </si>
  <si>
    <t>GRUPO EMPRESARIAL LBO S.A.S.</t>
  </si>
  <si>
    <t>gelbosas@hotmail.com</t>
  </si>
  <si>
    <t>5920812</t>
  </si>
  <si>
    <t>GUSTAVO BRIÐEZ VASQUEZ .</t>
  </si>
  <si>
    <t>tatianabrinez@gmail.com</t>
  </si>
  <si>
    <t>FAESPINAL08</t>
  </si>
  <si>
    <t>FACTURA  ADMINISTRATIVA</t>
  </si>
  <si>
    <t>FACTURA</t>
  </si>
  <si>
    <t>891903460</t>
  </si>
  <si>
    <t>SALGUERO GONZALEZ S.A.S. .</t>
  </si>
  <si>
    <t>montoyaroble@gmail.com</t>
  </si>
  <si>
    <t>FACOM024</t>
  </si>
  <si>
    <t>NC DEVOLUCION CLIENTE</t>
  </si>
  <si>
    <t>93124233</t>
  </si>
  <si>
    <t>NESTOR HERNANDO ORTEGON HERRAN</t>
  </si>
  <si>
    <t>nestortegon69@gmail.com</t>
  </si>
  <si>
    <t>06</t>
  </si>
  <si>
    <t>901416432</t>
  </si>
  <si>
    <t>AGROPECUARIA SAVANA SAS</t>
  </si>
  <si>
    <t>contabilidadagropecuariasavana@gmail.com</t>
  </si>
  <si>
    <t>07</t>
  </si>
  <si>
    <t>93129563</t>
  </si>
  <si>
    <t>WILINTON ORTEGON BETANCOURT</t>
  </si>
  <si>
    <t>cafe.decolombia@hotmail.com</t>
  </si>
  <si>
    <t>800153557</t>
  </si>
  <si>
    <t>DELAGRO S.A.S .</t>
  </si>
  <si>
    <t>800153557@factureinbox.co</t>
  </si>
  <si>
    <t>65705009</t>
  </si>
  <si>
    <t>NAIRA ISABEL BARRERO CARDOSO</t>
  </si>
  <si>
    <t>naisbaca03@gmail.com</t>
  </si>
  <si>
    <t>FAESPINAL03</t>
  </si>
  <si>
    <t>FACTURA INVENTARIO CONTADO</t>
  </si>
  <si>
    <t>10</t>
  </si>
  <si>
    <t>5921762</t>
  </si>
  <si>
    <t>GUSTAVO VASQUEZ MORALES</t>
  </si>
  <si>
    <t>.</t>
  </si>
  <si>
    <t>FAESPINAL06</t>
  </si>
  <si>
    <t>FACTURA AFILIACION AGRICULTORES</t>
  </si>
  <si>
    <t>11</t>
  </si>
  <si>
    <t>1110444229</t>
  </si>
  <si>
    <t>JUAN CAMILO DURAN MONTEALEGRE</t>
  </si>
  <si>
    <t>jkduran1@hotmail.com</t>
  </si>
  <si>
    <t>FACAR004</t>
  </si>
  <si>
    <t>NOTA DEBITO</t>
  </si>
  <si>
    <t>NOTADEB</t>
  </si>
  <si>
    <t>08</t>
  </si>
  <si>
    <t>26404353</t>
  </si>
  <si>
    <t>TULIA DUQUE DE RAMOS</t>
  </si>
  <si>
    <t>sanantoniolaapartada@hotmail.com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</si>
  <si>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</si>
  <si>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</si>
  <si>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</si>
  <si>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</si>
  <si>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</si>
  <si>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</si>
  <si>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</si>
  <si>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</si>
  <si>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</si>
  <si>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</si>
  <si>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</si>
  <si>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</si>
  <si>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</si>
  <si>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</si>
  <si>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</si>
  <si>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</si>
  <si>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[24E230115253].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</si>
  <si>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[24E230115254]. Descripción: [Validación contiene errores en campos mandatorios.] - Errores: [Regla: CAE04, Rechazo: No fue informado el fin del periodo de facturación que modifica esta nota crédito,Regla: CAE02, Rechazo: No fue informado el inicio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</si>
  <si>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[230184656]. Descripción: [Validación contiene errores en campos mandatorios.] - Errores: [Regla: FAD09e, Rechazo: Valida que fecha de generación de la factura sea igual a la fecha de firma,Regla: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</si>
  <si>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[24E230115277].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</si>
  <si>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[24E230115320].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</si>
  <si>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[24E230115355].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</si>
  <si>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[24E230115340].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</si>
  <si>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[24E230115341].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</si>
  <si>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[24E230115370]. Descripción: [Validación contiene errores en campos mandatorios.] - Errores: [Regla: ZB01, Rechazo: Error en el esquemeeeee - cvc-datatype-valid.1.2.1: '' is not a valid value for 'date'. - 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</si>
  <si>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[24E230115371]. Descripción: [Validación contiene errores en campos mandatorios.] - Errores: [Regla: ZB01, Rechazo: Error en el esquemeeeee - cvc-datatype-valid.1.2.1: '' is not a valid value for 'date'. - 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</si>
  <si>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[24E230115372]. Descripción: [Validación contiene errores en campos mandatorios.] - Errores: [Regla: ZB01, Rechazo: Error en el esquemeeeee - cvc-datatype-valid.1.2.1: '' is not a valid value for 'date'. - 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</si>
  <si>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[24E230115373]. Descripción: [Validación contiene errores en campos mandatorios.] - Errores: [Regla: ZB01, Rechazo: Error en el esquemeeeee - cvc-datatype-valid.1.2.1: '' is not a valid value for 'date'. - 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</si>
  <si>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[24E230115378]. Descripción: [Validación contiene errores en campos mandatorios.] - Errores: [Regla: ZB01, Rechazo: Error en el esquemeeeee - cvc-datatype-valid.1.2.1: '' is not a valid value for 'date'. - 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</si>
  <si>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</si>
  <si>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Código de error: 400 Solicitud incorrecta. 2000 InvalidDocument: DIAN: Ocurrió un error al enviar el documento [230187208].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</si>
  <si>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[24E230163463]. Descripción: [Validación contiene errores en campos mandatorios.] - Errores: [Regla: DAD09e, Rechazo: La fecha de generación de la ND es diferente a la fecha de firma de la ND,Regla: DAE02, Notificación: No fue informado el inicio del periodo de facturacion que modifica esta nota debito,Regla: DAE04, Notificación: No fue informado el fin del periodo de facturacion que modifica esta nota debito,Regla: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</si>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</sst>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2BD101-8D42-4511-A0B6-ED91181C7D6A}" name="Errores_Emision" displayName="Errores_Emision" ref="A7:S24" totalsRowCount="1" headerRowDxfId="3" dataDxfId="42" totalsRowDxfId="43" headerRowBorderDxfId="4">
  <autoFilter ref="A7:S23" xr:uid="{CDB478E1-CA3A-43AC-8036-69BDE7358224}"/>
  <tableColumns count="19">
    <tableColumn id="1" xr3:uid="{E71B3973-588A-4C3C-9E20-CB4EE3D406E9}" name="USUARIO" totalsRowLabel="Total" dataDxfId="36" totalsRowDxfId="37"/>
    <tableColumn id="2" xr3:uid="{865728C6-CA00-433E-A5A1-1DB966C842BA}" name="AUD_UFAC" dataDxfId="34" totalsRowDxfId="35"/>
    <tableColumn id="3" xr3:uid="{B0EAE412-C9A5-4C60-A691-74CAC4B6A7A6}" name="FECH_APLICA" dataDxfId="33" totalsRowDxfId="32"/>
    <tableColumn id="4" xr3:uid="{D7978E4C-1DA4-4FC6-A31E-D034FAADA35E}" name="DOCUMENTO" dataDxfId="31" totalsRowDxfId="41"/>
    <tableColumn id="5" xr3:uid="{AE4B98EC-EB3C-448E-BB5A-0036F353CBAA}" name="FECH_DOCUMENTO" dataDxfId="29" totalsRowDxfId="30"/>
    <tableColumn id="6" xr3:uid="{E34F5CC8-47FB-4D72-B1C8-926213CFA2CE}" name="FAC_VLR_TOTAL" dataDxfId="28" totalsRowDxfId="27"/>
    <tableColumn id="7" xr3:uid="{D3933D94-F9B9-4FCC-AF5F-5E2F0703DD8C}" name="COD_TIPO_OPERAC" dataDxfId="26" totalsRowDxfId="40"/>
    <tableColumn id="8" xr3:uid="{311E006C-E8B5-4067-AE62-9688478D689A}" name="TIPO_OPERAC" dataDxfId="24" totalsRowDxfId="25"/>
    <tableColumn id="9" xr3:uid="{FCA06EA1-BCCA-4FF2-B0F0-7C25B14ECBBC}" name="COD_SUCUR" dataDxfId="22" totalsRowDxfId="23"/>
    <tableColumn id="10" xr3:uid="{4EAAC675-23B5-4096-955A-912A0CDF7DCB}" name="SUCURSAL" dataDxfId="20" totalsRowDxfId="21"/>
    <tableColumn id="11" xr3:uid="{07218F42-B2CF-48A4-8BC8-5929C89983EF}" name="TIPO_DOCUMENTO" dataDxfId="18" totalsRowDxfId="19"/>
    <tableColumn id="12" xr3:uid="{EC80033F-67E4-4A77-A041-AF1C6A39ED80}" name="FECH_FACTURA" dataDxfId="17" totalsRowDxfId="16"/>
    <tableColumn id="13" xr3:uid="{1B8D3F54-CC3A-40B5-B958-06CE2F0C4B3D}" name="CXC_NUME" dataDxfId="15" totalsRowDxfId="39"/>
    <tableColumn id="14" xr3:uid="{76A5DBBB-4539-417D-9380-A2C619352013}" name="AÑO" dataDxfId="13" totalsRowDxfId="14"/>
    <tableColumn id="15" xr3:uid="{A18A0792-550D-46AB-9CBE-1F44F0CADB71}" name="MES" dataDxfId="11" totalsRowDxfId="12"/>
    <tableColumn id="16" xr3:uid="{02556867-5038-45F2-AC6E-48FEA21CB110}" name="NIT" dataDxfId="9" totalsRowDxfId="10"/>
    <tableColumn id="17" xr3:uid="{82ECDE08-12DF-4D30-A4F1-70F43244A8A6}" name="NOMBRE" dataDxfId="7" totalsRowDxfId="8"/>
    <tableColumn id="18" xr3:uid="{DE146194-6AAE-40B8-838F-EC99FBACD884}" name="EMAIL" totalsRowFunction="count" dataDxfId="5" totalsRowDxfId="2"/>
    <tableColumn id="19" xr3:uid="{5FE549C6-071E-4955-A4A6-6AF907D01FEC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78E1-CA3A-43AC-8036-69BDE7358224}">
  <sheetPr>
    <tabColor rgb="FF92D050"/>
  </sheetPr>
  <dimension ref="A1:S24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7.33203125" style="3" bestFit="1" customWidth="1"/>
    <col min="18" max="18" width="35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93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94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95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96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62</v>
      </c>
      <c r="B7" s="10" t="s">
        <v>0</v>
      </c>
      <c r="C7" s="11" t="s">
        <v>63</v>
      </c>
      <c r="D7" s="12" t="s">
        <v>64</v>
      </c>
      <c r="E7" s="11" t="s">
        <v>65</v>
      </c>
      <c r="F7" s="13" t="s">
        <v>66</v>
      </c>
      <c r="G7" s="12" t="s">
        <v>67</v>
      </c>
      <c r="H7" s="9" t="s">
        <v>68</v>
      </c>
      <c r="I7" s="9" t="s">
        <v>69</v>
      </c>
      <c r="J7" s="9" t="s">
        <v>70</v>
      </c>
      <c r="K7" s="9" t="s">
        <v>71</v>
      </c>
      <c r="L7" s="11" t="s">
        <v>72</v>
      </c>
      <c r="M7" s="12" t="s">
        <v>1</v>
      </c>
      <c r="N7" s="9" t="s">
        <v>73</v>
      </c>
      <c r="O7" s="9" t="s">
        <v>2</v>
      </c>
      <c r="P7" s="9" t="s">
        <v>74</v>
      </c>
      <c r="Q7" s="9" t="s">
        <v>75</v>
      </c>
      <c r="R7" s="9" t="s">
        <v>76</v>
      </c>
      <c r="S7" s="12" t="s">
        <v>3</v>
      </c>
    </row>
    <row r="8" spans="1:19" ht="67.5" x14ac:dyDescent="0.2">
      <c r="A8" s="3" t="s">
        <v>4</v>
      </c>
      <c r="B8" s="4">
        <v>45414</v>
      </c>
      <c r="C8" s="5">
        <v>45441</v>
      </c>
      <c r="D8" s="1">
        <v>15253</v>
      </c>
      <c r="E8" s="5">
        <v>45414</v>
      </c>
      <c r="F8" s="6">
        <v>81753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15253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77</v>
      </c>
    </row>
    <row r="9" spans="1:19" ht="67.5" x14ac:dyDescent="0.2">
      <c r="A9" s="3" t="s">
        <v>4</v>
      </c>
      <c r="B9" s="4">
        <v>45414</v>
      </c>
      <c r="C9" s="5">
        <v>45441</v>
      </c>
      <c r="D9" s="1">
        <v>15254</v>
      </c>
      <c r="E9" s="5">
        <v>45414</v>
      </c>
      <c r="F9" s="6">
        <v>70411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45414</v>
      </c>
      <c r="M9" s="1">
        <v>15254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78</v>
      </c>
    </row>
    <row r="10" spans="1:19" ht="56.25" x14ac:dyDescent="0.2">
      <c r="A10" s="3" t="s">
        <v>17</v>
      </c>
      <c r="B10" s="4">
        <v>45441</v>
      </c>
      <c r="C10" s="5">
        <v>45435</v>
      </c>
      <c r="D10" s="1">
        <v>84656</v>
      </c>
      <c r="E10" s="5">
        <v>45432</v>
      </c>
      <c r="F10" s="6">
        <v>500008</v>
      </c>
      <c r="G10" s="1">
        <v>3001</v>
      </c>
      <c r="H10" s="3" t="s">
        <v>18</v>
      </c>
      <c r="I10" s="3" t="s">
        <v>6</v>
      </c>
      <c r="J10" s="3" t="s">
        <v>7</v>
      </c>
      <c r="K10" s="3" t="s">
        <v>19</v>
      </c>
      <c r="L10" s="5">
        <v>45432</v>
      </c>
      <c r="M10" s="1">
        <v>84656</v>
      </c>
      <c r="N10" s="3" t="s">
        <v>9</v>
      </c>
      <c r="O10" s="3" t="s">
        <v>10</v>
      </c>
      <c r="P10" s="3" t="s">
        <v>20</v>
      </c>
      <c r="Q10" s="3" t="s">
        <v>21</v>
      </c>
      <c r="R10" s="3" t="s">
        <v>22</v>
      </c>
      <c r="S10" s="7" t="s">
        <v>79</v>
      </c>
    </row>
    <row r="11" spans="1:19" ht="78.75" x14ac:dyDescent="0.2">
      <c r="A11" s="3" t="s">
        <v>23</v>
      </c>
      <c r="B11" s="4">
        <v>45506</v>
      </c>
      <c r="C11" s="5">
        <v>45442</v>
      </c>
      <c r="D11" s="1">
        <v>15277</v>
      </c>
      <c r="E11" s="5">
        <v>45442</v>
      </c>
      <c r="F11" s="6">
        <v>5520168</v>
      </c>
      <c r="G11" s="1">
        <v>3512</v>
      </c>
      <c r="H11" s="3" t="s">
        <v>24</v>
      </c>
      <c r="I11" s="3" t="s">
        <v>6</v>
      </c>
      <c r="J11" s="3" t="s">
        <v>7</v>
      </c>
      <c r="K11" s="3" t="s">
        <v>8</v>
      </c>
      <c r="L11" s="5">
        <v>45442</v>
      </c>
      <c r="M11" s="1">
        <v>15277</v>
      </c>
      <c r="N11" s="3" t="s">
        <v>9</v>
      </c>
      <c r="O11" s="3" t="s">
        <v>10</v>
      </c>
      <c r="P11" s="3" t="s">
        <v>25</v>
      </c>
      <c r="Q11" s="3" t="s">
        <v>26</v>
      </c>
      <c r="R11" s="3" t="s">
        <v>27</v>
      </c>
      <c r="S11" s="7" t="s">
        <v>80</v>
      </c>
    </row>
    <row r="12" spans="1:19" ht="67.5" x14ac:dyDescent="0.2">
      <c r="A12" s="3" t="s">
        <v>23</v>
      </c>
      <c r="B12" s="4">
        <v>45506</v>
      </c>
      <c r="C12" s="5">
        <v>45464</v>
      </c>
      <c r="D12" s="1">
        <v>15320</v>
      </c>
      <c r="E12" s="5">
        <v>45464</v>
      </c>
      <c r="F12" s="6">
        <v>42606465</v>
      </c>
      <c r="G12" s="1">
        <v>3512</v>
      </c>
      <c r="H12" s="3" t="s">
        <v>24</v>
      </c>
      <c r="I12" s="3" t="s">
        <v>6</v>
      </c>
      <c r="J12" s="3" t="s">
        <v>7</v>
      </c>
      <c r="K12" s="3" t="s">
        <v>8</v>
      </c>
      <c r="L12" s="5">
        <v>45464</v>
      </c>
      <c r="M12" s="1">
        <v>15320</v>
      </c>
      <c r="N12" s="3" t="s">
        <v>9</v>
      </c>
      <c r="O12" s="3" t="s">
        <v>28</v>
      </c>
      <c r="P12" s="3" t="s">
        <v>29</v>
      </c>
      <c r="Q12" s="3" t="s">
        <v>30</v>
      </c>
      <c r="R12" s="3" t="s">
        <v>31</v>
      </c>
      <c r="S12" s="7" t="s">
        <v>81</v>
      </c>
    </row>
    <row r="13" spans="1:19" ht="78.75" x14ac:dyDescent="0.2">
      <c r="A13" s="3" t="s">
        <v>23</v>
      </c>
      <c r="B13" s="4">
        <v>45506</v>
      </c>
      <c r="C13" s="5">
        <v>45489</v>
      </c>
      <c r="D13" s="1">
        <v>15355</v>
      </c>
      <c r="E13" s="5">
        <v>45489</v>
      </c>
      <c r="F13" s="6">
        <v>1380042</v>
      </c>
      <c r="G13" s="1">
        <v>3512</v>
      </c>
      <c r="H13" s="3" t="s">
        <v>24</v>
      </c>
      <c r="I13" s="3" t="s">
        <v>6</v>
      </c>
      <c r="J13" s="3" t="s">
        <v>7</v>
      </c>
      <c r="K13" s="3" t="s">
        <v>8</v>
      </c>
      <c r="L13" s="5">
        <v>45489</v>
      </c>
      <c r="M13" s="1">
        <v>15355</v>
      </c>
      <c r="N13" s="3" t="s">
        <v>9</v>
      </c>
      <c r="O13" s="3" t="s">
        <v>32</v>
      </c>
      <c r="P13" s="3" t="s">
        <v>33</v>
      </c>
      <c r="Q13" s="3" t="s">
        <v>34</v>
      </c>
      <c r="R13" s="3" t="s">
        <v>35</v>
      </c>
      <c r="S13" s="7" t="s">
        <v>82</v>
      </c>
    </row>
    <row r="14" spans="1:19" ht="78.75" x14ac:dyDescent="0.2">
      <c r="A14" s="3" t="s">
        <v>23</v>
      </c>
      <c r="B14" s="4">
        <v>45506</v>
      </c>
      <c r="C14" s="5">
        <v>45489</v>
      </c>
      <c r="D14" s="1">
        <v>15340</v>
      </c>
      <c r="E14" s="5">
        <v>45489</v>
      </c>
      <c r="F14" s="6">
        <v>932500</v>
      </c>
      <c r="G14" s="1">
        <v>3512</v>
      </c>
      <c r="H14" s="3" t="s">
        <v>24</v>
      </c>
      <c r="I14" s="3" t="s">
        <v>6</v>
      </c>
      <c r="J14" s="3" t="s">
        <v>7</v>
      </c>
      <c r="K14" s="3" t="s">
        <v>8</v>
      </c>
      <c r="L14" s="5">
        <v>45489</v>
      </c>
      <c r="M14" s="1">
        <v>15340</v>
      </c>
      <c r="N14" s="3" t="s">
        <v>9</v>
      </c>
      <c r="O14" s="3" t="s">
        <v>32</v>
      </c>
      <c r="P14" s="3" t="s">
        <v>36</v>
      </c>
      <c r="Q14" s="3" t="s">
        <v>37</v>
      </c>
      <c r="R14" s="3" t="s">
        <v>38</v>
      </c>
      <c r="S14" s="7" t="s">
        <v>83</v>
      </c>
    </row>
    <row r="15" spans="1:19" ht="78.75" x14ac:dyDescent="0.2">
      <c r="A15" s="3" t="s">
        <v>23</v>
      </c>
      <c r="B15" s="4">
        <v>45506</v>
      </c>
      <c r="C15" s="5">
        <v>45490</v>
      </c>
      <c r="D15" s="1">
        <v>15341</v>
      </c>
      <c r="E15" s="5">
        <v>45490</v>
      </c>
      <c r="F15" s="6">
        <v>6350000</v>
      </c>
      <c r="G15" s="1">
        <v>3512</v>
      </c>
      <c r="H15" s="3" t="s">
        <v>24</v>
      </c>
      <c r="I15" s="3" t="s">
        <v>6</v>
      </c>
      <c r="J15" s="3" t="s">
        <v>7</v>
      </c>
      <c r="K15" s="3" t="s">
        <v>8</v>
      </c>
      <c r="L15" s="5">
        <v>45490</v>
      </c>
      <c r="M15" s="1">
        <v>15341</v>
      </c>
      <c r="N15" s="3" t="s">
        <v>9</v>
      </c>
      <c r="O15" s="3" t="s">
        <v>32</v>
      </c>
      <c r="P15" s="3" t="s">
        <v>36</v>
      </c>
      <c r="Q15" s="3" t="s">
        <v>37</v>
      </c>
      <c r="R15" s="3" t="s">
        <v>38</v>
      </c>
      <c r="S15" s="7" t="s">
        <v>84</v>
      </c>
    </row>
    <row r="16" spans="1:19" ht="78.75" x14ac:dyDescent="0.2">
      <c r="A16" s="3" t="s">
        <v>17</v>
      </c>
      <c r="B16" s="4">
        <v>45496</v>
      </c>
      <c r="C16" s="5">
        <v>45496</v>
      </c>
      <c r="D16" s="1">
        <v>15370</v>
      </c>
      <c r="E16" s="5">
        <v>45496</v>
      </c>
      <c r="F16" s="6">
        <v>36088</v>
      </c>
      <c r="G16" s="1">
        <v>3003</v>
      </c>
      <c r="H16" s="3" t="s">
        <v>5</v>
      </c>
      <c r="I16" s="3" t="s">
        <v>6</v>
      </c>
      <c r="J16" s="3" t="s">
        <v>7</v>
      </c>
      <c r="K16" s="3" t="s">
        <v>8</v>
      </c>
      <c r="L16" s="5">
        <v>45496</v>
      </c>
      <c r="M16" s="1">
        <v>15370</v>
      </c>
      <c r="N16" s="3" t="s">
        <v>9</v>
      </c>
      <c r="O16" s="3" t="s">
        <v>32</v>
      </c>
      <c r="P16" s="3" t="s">
        <v>39</v>
      </c>
      <c r="Q16" s="3" t="s">
        <v>40</v>
      </c>
      <c r="R16" s="3" t="s">
        <v>41</v>
      </c>
      <c r="S16" s="7" t="s">
        <v>85</v>
      </c>
    </row>
    <row r="17" spans="1:19" ht="78.75" x14ac:dyDescent="0.2">
      <c r="A17" s="3" t="s">
        <v>17</v>
      </c>
      <c r="B17" s="4">
        <v>45496</v>
      </c>
      <c r="C17" s="5">
        <v>45496</v>
      </c>
      <c r="D17" s="1">
        <v>15371</v>
      </c>
      <c r="E17" s="5">
        <v>45496</v>
      </c>
      <c r="F17" s="6">
        <v>45473</v>
      </c>
      <c r="G17" s="1">
        <v>3003</v>
      </c>
      <c r="H17" s="3" t="s">
        <v>5</v>
      </c>
      <c r="I17" s="3" t="s">
        <v>6</v>
      </c>
      <c r="J17" s="3" t="s">
        <v>7</v>
      </c>
      <c r="K17" s="3" t="s">
        <v>8</v>
      </c>
      <c r="L17" s="5">
        <v>45496</v>
      </c>
      <c r="M17" s="1">
        <v>15371</v>
      </c>
      <c r="N17" s="3" t="s">
        <v>9</v>
      </c>
      <c r="O17" s="3" t="s">
        <v>32</v>
      </c>
      <c r="P17" s="3" t="s">
        <v>39</v>
      </c>
      <c r="Q17" s="3" t="s">
        <v>40</v>
      </c>
      <c r="R17" s="3" t="s">
        <v>41</v>
      </c>
      <c r="S17" s="7" t="s">
        <v>86</v>
      </c>
    </row>
    <row r="18" spans="1:19" ht="78.75" x14ac:dyDescent="0.2">
      <c r="A18" s="3" t="s">
        <v>17</v>
      </c>
      <c r="B18" s="4">
        <v>45496</v>
      </c>
      <c r="C18" s="5">
        <v>45496</v>
      </c>
      <c r="D18" s="1">
        <v>15372</v>
      </c>
      <c r="E18" s="5">
        <v>45496</v>
      </c>
      <c r="F18" s="6">
        <v>26968</v>
      </c>
      <c r="G18" s="1">
        <v>3003</v>
      </c>
      <c r="H18" s="3" t="s">
        <v>5</v>
      </c>
      <c r="I18" s="3" t="s">
        <v>6</v>
      </c>
      <c r="J18" s="3" t="s">
        <v>7</v>
      </c>
      <c r="K18" s="3" t="s">
        <v>8</v>
      </c>
      <c r="L18" s="5">
        <v>45496</v>
      </c>
      <c r="M18" s="1">
        <v>15372</v>
      </c>
      <c r="N18" s="3" t="s">
        <v>9</v>
      </c>
      <c r="O18" s="3" t="s">
        <v>32</v>
      </c>
      <c r="P18" s="3" t="s">
        <v>39</v>
      </c>
      <c r="Q18" s="3" t="s">
        <v>40</v>
      </c>
      <c r="R18" s="3" t="s">
        <v>41</v>
      </c>
      <c r="S18" s="7" t="s">
        <v>87</v>
      </c>
    </row>
    <row r="19" spans="1:19" ht="78.75" x14ac:dyDescent="0.2">
      <c r="A19" s="3" t="s">
        <v>17</v>
      </c>
      <c r="B19" s="4">
        <v>45496</v>
      </c>
      <c r="C19" s="5">
        <v>45496</v>
      </c>
      <c r="D19" s="1">
        <v>15373</v>
      </c>
      <c r="E19" s="5">
        <v>45496</v>
      </c>
      <c r="F19" s="6">
        <v>76229</v>
      </c>
      <c r="G19" s="1">
        <v>3003</v>
      </c>
      <c r="H19" s="3" t="s">
        <v>5</v>
      </c>
      <c r="I19" s="3" t="s">
        <v>6</v>
      </c>
      <c r="J19" s="3" t="s">
        <v>7</v>
      </c>
      <c r="K19" s="3" t="s">
        <v>8</v>
      </c>
      <c r="L19" s="5">
        <v>45496</v>
      </c>
      <c r="M19" s="1">
        <v>15373</v>
      </c>
      <c r="N19" s="3" t="s">
        <v>9</v>
      </c>
      <c r="O19" s="3" t="s">
        <v>32</v>
      </c>
      <c r="P19" s="3" t="s">
        <v>39</v>
      </c>
      <c r="Q19" s="3" t="s">
        <v>40</v>
      </c>
      <c r="R19" s="3" t="s">
        <v>41</v>
      </c>
      <c r="S19" s="7" t="s">
        <v>88</v>
      </c>
    </row>
    <row r="20" spans="1:19" ht="67.5" x14ac:dyDescent="0.2">
      <c r="A20" s="3" t="s">
        <v>17</v>
      </c>
      <c r="B20" s="4">
        <v>45502</v>
      </c>
      <c r="C20" s="5">
        <v>45502</v>
      </c>
      <c r="D20" s="1">
        <v>15378</v>
      </c>
      <c r="E20" s="5">
        <v>45502</v>
      </c>
      <c r="F20" s="6">
        <v>15672</v>
      </c>
      <c r="G20" s="1">
        <v>3003</v>
      </c>
      <c r="H20" s="3" t="s">
        <v>5</v>
      </c>
      <c r="I20" s="3" t="s">
        <v>6</v>
      </c>
      <c r="J20" s="3" t="s">
        <v>7</v>
      </c>
      <c r="K20" s="3" t="s">
        <v>8</v>
      </c>
      <c r="L20" s="5">
        <v>45502</v>
      </c>
      <c r="M20" s="1">
        <v>15378</v>
      </c>
      <c r="N20" s="3" t="s">
        <v>9</v>
      </c>
      <c r="O20" s="3" t="s">
        <v>32</v>
      </c>
      <c r="P20" s="3" t="s">
        <v>14</v>
      </c>
      <c r="Q20" s="3" t="s">
        <v>15</v>
      </c>
      <c r="R20" s="3" t="s">
        <v>16</v>
      </c>
      <c r="S20" s="7" t="s">
        <v>89</v>
      </c>
    </row>
    <row r="21" spans="1:19" x14ac:dyDescent="0.2">
      <c r="A21" s="3" t="s">
        <v>42</v>
      </c>
      <c r="B21" s="4">
        <v>45610</v>
      </c>
      <c r="C21" s="5">
        <v>45582</v>
      </c>
      <c r="D21" s="1">
        <v>86563</v>
      </c>
      <c r="E21" s="5">
        <v>45582</v>
      </c>
      <c r="F21" s="6">
        <v>30161</v>
      </c>
      <c r="G21" s="1">
        <v>3550</v>
      </c>
      <c r="H21" s="3" t="s">
        <v>43</v>
      </c>
      <c r="I21" s="3" t="s">
        <v>6</v>
      </c>
      <c r="J21" s="3" t="s">
        <v>7</v>
      </c>
      <c r="K21" s="3" t="s">
        <v>19</v>
      </c>
      <c r="L21" s="5">
        <v>45582</v>
      </c>
      <c r="M21" s="1">
        <v>86563</v>
      </c>
      <c r="N21" s="3" t="s">
        <v>9</v>
      </c>
      <c r="O21" s="3" t="s">
        <v>44</v>
      </c>
      <c r="P21" s="3" t="s">
        <v>45</v>
      </c>
      <c r="Q21" s="3" t="s">
        <v>46</v>
      </c>
      <c r="R21" s="3" t="s">
        <v>47</v>
      </c>
      <c r="S21" s="7" t="s">
        <v>90</v>
      </c>
    </row>
    <row r="22" spans="1:19" ht="56.25" x14ac:dyDescent="0.2">
      <c r="A22" s="3" t="s">
        <v>48</v>
      </c>
      <c r="B22" s="4">
        <v>45618</v>
      </c>
      <c r="C22" s="5">
        <v>45616</v>
      </c>
      <c r="D22" s="1">
        <v>87208</v>
      </c>
      <c r="E22" s="5">
        <v>45616</v>
      </c>
      <c r="F22" s="6">
        <v>10000</v>
      </c>
      <c r="G22" s="1">
        <v>3014</v>
      </c>
      <c r="H22" s="3" t="s">
        <v>49</v>
      </c>
      <c r="I22" s="3" t="s">
        <v>6</v>
      </c>
      <c r="J22" s="3" t="s">
        <v>7</v>
      </c>
      <c r="K22" s="3" t="s">
        <v>19</v>
      </c>
      <c r="L22" s="5">
        <v>45616</v>
      </c>
      <c r="M22" s="1">
        <v>87208</v>
      </c>
      <c r="N22" s="3" t="s">
        <v>9</v>
      </c>
      <c r="O22" s="3" t="s">
        <v>50</v>
      </c>
      <c r="P22" s="3" t="s">
        <v>51</v>
      </c>
      <c r="Q22" s="3" t="s">
        <v>52</v>
      </c>
      <c r="R22" s="3" t="s">
        <v>53</v>
      </c>
      <c r="S22" s="7" t="s">
        <v>91</v>
      </c>
    </row>
    <row r="23" spans="1:19" ht="78.75" x14ac:dyDescent="0.2">
      <c r="A23" s="3" t="s">
        <v>54</v>
      </c>
      <c r="B23" s="4">
        <v>45568</v>
      </c>
      <c r="C23" s="5">
        <v>45532</v>
      </c>
      <c r="D23" s="1">
        <v>63463</v>
      </c>
      <c r="E23" s="5">
        <v>45532</v>
      </c>
      <c r="F23" s="6">
        <v>736</v>
      </c>
      <c r="G23" s="1">
        <v>3002</v>
      </c>
      <c r="H23" s="3" t="s">
        <v>55</v>
      </c>
      <c r="I23" s="3" t="s">
        <v>6</v>
      </c>
      <c r="J23" s="3" t="s">
        <v>7</v>
      </c>
      <c r="K23" s="3" t="s">
        <v>56</v>
      </c>
      <c r="L23" s="5">
        <v>45532</v>
      </c>
      <c r="M23" s="1">
        <v>63463</v>
      </c>
      <c r="N23" s="3" t="s">
        <v>9</v>
      </c>
      <c r="O23" s="3" t="s">
        <v>57</v>
      </c>
      <c r="P23" s="3" t="s">
        <v>58</v>
      </c>
      <c r="Q23" s="3" t="s">
        <v>59</v>
      </c>
      <c r="R23" s="3" t="s">
        <v>60</v>
      </c>
      <c r="S23" s="7" t="s">
        <v>92</v>
      </c>
    </row>
    <row r="24" spans="1:19" x14ac:dyDescent="0.2">
      <c r="A24" s="3" t="s">
        <v>61</v>
      </c>
      <c r="D24" s="2"/>
      <c r="G24" s="2"/>
      <c r="M24" s="2"/>
      <c r="R24" s="14">
        <f>SUBTOTAL(103,Errores_Emision[EMAIL])</f>
        <v>16</v>
      </c>
      <c r="S24" s="8"/>
    </row>
  </sheetData>
  <conditionalFormatting sqref="A8:S23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2024-12-26T16:00:28Z</dcterms:created>
  <dcterms:modified xsi:type="dcterms:W3CDTF">2024-12-26T16:00:30Z</dcterms:modified>
</cp:coreProperties>
</file>