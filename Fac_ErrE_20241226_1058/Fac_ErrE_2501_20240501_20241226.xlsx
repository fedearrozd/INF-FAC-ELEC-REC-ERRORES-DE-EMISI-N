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ERP\SEVEN\FACTURACION\FACERREMI\Fac_ErrE_20241226_1058\"/>
    </mc:Choice>
  </mc:AlternateContent>
  <xr:revisionPtr revIDLastSave="0" documentId="13_ncr:9_{F39A9720-B805-4F36-8ABE-55D23ED437E6}" xr6:coauthVersionLast="47" xr6:coauthVersionMax="47" xr10:uidLastSave="{00000000-0000-0000-0000-000000000000}"/>
  <bookViews>
    <workbookView xWindow="2295" yWindow="2295" windowWidth="21600" windowHeight="11385" xr2:uid="{92BC1EA3-C644-481E-ADD6-4A2072EFF7E5}"/>
  </bookViews>
  <sheets>
    <sheet name="Error_Emision" sheetId="1" r:id="rId1"/>
  </sheets>
  <definedNames>
    <definedName name="_xlnm._FilterDatabase" localSheetId="0" hidden="1">Error_Emision!$A$7:$S$17</definedName>
    <definedName name="_xlnm.Database">Error_Emision!$A$7:$S$17</definedName>
  </definedNames>
  <calcPr calcId="191029"/>
</workbook>
</file>

<file path=xl/calcChain.xml><?xml version="1.0" encoding="utf-8"?>
<calcChain xmlns="http://schemas.openxmlformats.org/spreadsheetml/2006/main">
  <c r="R18" i="1" l="1"/>
</calcChain>
</file>

<file path=xl/sharedStrings.xml><?xml version="1.0" encoding="utf-8"?>
<sst xmlns="http://schemas.openxmlformats.org/spreadsheetml/2006/main" count="134" uniqueCount="71">
  <si>
    <t>AUD_UFAC</t>
  </si>
  <si>
    <t>CXC_NUME</t>
  </si>
  <si>
    <t>MES</t>
  </si>
  <si>
    <t>ERROR</t>
  </si>
  <si>
    <t>FASALDANA21</t>
  </si>
  <si>
    <t>FACTURA INVENTARIO CONTADO</t>
  </si>
  <si>
    <t>2501</t>
  </si>
  <si>
    <t>SALDANA</t>
  </si>
  <si>
    <t>FACTURA</t>
  </si>
  <si>
    <t>2024</t>
  </si>
  <si>
    <t>07</t>
  </si>
  <si>
    <t>5986766</t>
  </si>
  <si>
    <t>ALIRIO MONCALEANO MENDEZ</t>
  </si>
  <si>
    <t>.</t>
  </si>
  <si>
    <t>08</t>
  </si>
  <si>
    <t>93470707</t>
  </si>
  <si>
    <t>JOSE GUSTAVO GOMEZ POLOCHE</t>
  </si>
  <si>
    <t>1070601382</t>
  </si>
  <si>
    <t>GALVIS RICAURTE SERGIO LEANDRO</t>
  </si>
  <si>
    <t>slgalvis@gmail.com</t>
  </si>
  <si>
    <t>FACTURA AFILIACION AGRICULTORES</t>
  </si>
  <si>
    <t>96351757</t>
  </si>
  <si>
    <t>LUIS EDGAR ORTIZ CAICEDO</t>
  </si>
  <si>
    <t>09</t>
  </si>
  <si>
    <t>93200010</t>
  </si>
  <si>
    <t>ANGEL ARROYO USECHE</t>
  </si>
  <si>
    <t>10</t>
  </si>
  <si>
    <t>28715046</t>
  </si>
  <si>
    <t>MARIA DEIFILIA PRADA DE LOZANO</t>
  </si>
  <si>
    <t>11</t>
  </si>
  <si>
    <t>5882599</t>
  </si>
  <si>
    <t>EDGAR RIAÐO RODRIGUEZ</t>
  </si>
  <si>
    <t>93153256</t>
  </si>
  <si>
    <t>GILDARDO BOCANEGRA LOZANO</t>
  </si>
  <si>
    <t>FACAR002</t>
  </si>
  <si>
    <t>NOTA DEBITO</t>
  </si>
  <si>
    <t>NOTADEB</t>
  </si>
  <si>
    <t>05</t>
  </si>
  <si>
    <t>93477272</t>
  </si>
  <si>
    <t>CARLOS JOSE CULMA ORTIZ</t>
  </si>
  <si>
    <t>carlosjculmao@gmail.com</t>
  </si>
  <si>
    <t>NOTA CREDITO</t>
  </si>
  <si>
    <t>NOTACRE</t>
  </si>
  <si>
    <t>11306824</t>
  </si>
  <si>
    <t>ALEJANDRO BUENDIA MANRIQUE</t>
  </si>
  <si>
    <t>inversionesbuendia@4yahoo.es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</si>
  <si>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</si>
  <si>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</si>
  <si>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</si>
  <si>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</si>
  <si>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</si>
  <si>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</si>
  <si>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</si>
  <si>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</si>
  <si>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</si>
  <si>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</si>
  <si>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</si>
  <si>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</si>
  <si>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</si>
  <si>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</si>
  <si>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</si>
  <si>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</si>
  <si>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>Código de error: 400 Solicitud incorrecta. 2000 Email inválido: '.'</t>
  </si>
  <si>
    <t>Código de error: 400 Solicitud incorrecta. 2000 InvalidDocument: DIAN: Ocurrió un error al enviar el documento [250138558]. Descripción: [Validación contiene errores en campos mandatorios.] - Errores: [Regla: FAD09e, Rechazo: Valida que fecha de generación de la factura sea igual a la fecha de firma,Regla: FAK41, Notificación: EL contenido de este elemento no corresponde al Nombre y codigo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</si>
  <si>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[250138560]. Descripción: [Validación contiene errores en campos mandatorios.] - Errores: [Regla: FAD09e, Rechazo: Valida que fecha de generación de la factura sea igual a la fecha de firma,Regla: FAK41, Notificación: EL contenido de este elemento no corresponde al Nombre y codigo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</si>
  <si>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[24S250134434]. Descripción: [Validación contiene errores en campos mandatorios.] - Errores: [Regla: DBG02, Rechazo: Se requiere obligatoriamente referencia a documento.,Regla: DBG03, Notificación: ID de FE de referencia no relacionada,Regla: DBF02, Notificación: No se informo el numero de la factura referenciada,Regla: DBG04, Notificación: CUFE de FE referenciada no existe,Regla: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</si>
  <si>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[24S250121247]. Descripción: [Validación contiene errores en campos mandatorios.] - Errores: [Regla: CAD09e, Rechazo: La fecha de generación de la NC es diferente a la fecha de firma de la NC,Regla: CAK41, Notificación: EL contenido de este elemento no corresponde al Nombre y código válido.,Regla: CBF04, Notificación: La Descripción informada no se encuentra en la lista,Regla: RUT01, Notificación: La validación del estado del RUT próximamente estará disponible.,Regla: RUT01, Notificación: La validación del estado del RUT próximamente estará disponible.]</t>
  </si>
  <si>
    <t>FEDEARROZ</t>
  </si>
  <si>
    <t>Facturación Electrónica Errores Emisión</t>
  </si>
  <si>
    <t>Corte:  [ Desde 2024/05/01- Hasta 2024/12/26 ]</t>
  </si>
  <si>
    <t>Fecha y Hora de Generación:  [ 20241226_1058 ]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</si>
</sst>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3A6755-4CFE-424A-8107-FFB97052BB8C}" name="Errores_Emision" displayName="Errores_Emision" ref="A7:S18" totalsRowCount="1" headerRowDxfId="3" dataDxfId="42" totalsRowDxfId="43" headerRowBorderDxfId="4">
  <autoFilter ref="A7:S17" xr:uid="{0A693534-4D39-4723-A2AD-534C5724AB42}"/>
  <tableColumns count="19">
    <tableColumn id="1" xr3:uid="{9F963397-C322-45BD-B8BB-9E95E1ADD980}" name="USUARIO" totalsRowLabel="Total" dataDxfId="36" totalsRowDxfId="37"/>
    <tableColumn id="2" xr3:uid="{436D7EE1-1717-4782-9C5A-511D34A59198}" name="AUD_UFAC" dataDxfId="34" totalsRowDxfId="35"/>
    <tableColumn id="3" xr3:uid="{EACFB025-144A-4333-9DFE-E31FE258480B}" name="FECH_APLICA" dataDxfId="33" totalsRowDxfId="32"/>
    <tableColumn id="4" xr3:uid="{539511DA-3CBD-43F6-9310-CA5B51761D4B}" name="DOCUMENTO" dataDxfId="31" totalsRowDxfId="41"/>
    <tableColumn id="5" xr3:uid="{E6D537C1-7934-4FD0-BE17-9E601D42F406}" name="FECH_DOCUMENTO" dataDxfId="29" totalsRowDxfId="30"/>
    <tableColumn id="6" xr3:uid="{4807A2F7-3F8D-4A28-BB0B-F6DEDB62B152}" name="FAC_VLR_TOTAL" dataDxfId="28" totalsRowDxfId="27"/>
    <tableColumn id="7" xr3:uid="{18C716EB-539C-4475-A695-D76C6A9C36D8}" name="COD_TIPO_OPERAC" dataDxfId="26" totalsRowDxfId="40"/>
    <tableColumn id="8" xr3:uid="{F94E294F-C65B-434C-B2A8-61D31CFAE4CD}" name="TIPO_OPERAC" dataDxfId="24" totalsRowDxfId="25"/>
    <tableColumn id="9" xr3:uid="{FEF02EE2-FF66-4B73-AE55-1A1688085C4E}" name="COD_SUCUR" dataDxfId="22" totalsRowDxfId="23"/>
    <tableColumn id="10" xr3:uid="{E8A69695-630E-4C28-A36E-590A8D177072}" name="SUCURSAL" dataDxfId="20" totalsRowDxfId="21"/>
    <tableColumn id="11" xr3:uid="{1857CEAB-FBD7-4ACB-8316-583B7F9EDDD4}" name="TIPO_DOCUMENTO" dataDxfId="18" totalsRowDxfId="19"/>
    <tableColumn id="12" xr3:uid="{650228D3-CD0F-4764-8F3A-66E9494520FC}" name="FECH_FACTURA" dataDxfId="17" totalsRowDxfId="16"/>
    <tableColumn id="13" xr3:uid="{14FBCCB3-8CA4-49D2-9C9A-E50879CA7D76}" name="CXC_NUME" dataDxfId="15" totalsRowDxfId="39"/>
    <tableColumn id="14" xr3:uid="{EE7EACD8-9818-4F1C-81F3-829F0A88BEC7}" name="AÑO" dataDxfId="13" totalsRowDxfId="14"/>
    <tableColumn id="15" xr3:uid="{37C2CBB4-0659-4B75-8599-87FF0BC750CA}" name="MES" dataDxfId="11" totalsRowDxfId="12"/>
    <tableColumn id="16" xr3:uid="{47C672F6-2405-4FDE-823B-881259F462B1}" name="NIT" dataDxfId="9" totalsRowDxfId="10"/>
    <tableColumn id="17" xr3:uid="{F68C6BD4-BE3D-4883-B967-347B76F84154}" name="NOMBRE" dataDxfId="7" totalsRowDxfId="8"/>
    <tableColumn id="18" xr3:uid="{D2ADE31B-2379-43E0-890C-5FD5C889B36E}" name="EMAIL" totalsRowFunction="count" dataDxfId="5" totalsRowDxfId="2"/>
    <tableColumn id="19" xr3:uid="{46D05D50-4116-4FB1-9786-553D551661C7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93534-4D39-4723-A2AD-534C5724AB42}">
  <sheetPr>
    <tabColor rgb="FF92D050"/>
  </sheetPr>
  <dimension ref="A1:S18"/>
  <sheetViews>
    <sheetView showGridLines="0" tabSelected="1" workbookViewId="0"/>
  </sheetViews>
  <sheetFormatPr baseColWidth="10" defaultRowHeight="11.25" x14ac:dyDescent="0.2"/>
  <cols>
    <col min="1" max="1" width="1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36" style="3" bestFit="1" customWidth="1"/>
    <col min="9" max="9" width="17.6640625" style="3" bestFit="1" customWidth="1"/>
    <col min="10" max="10" width="15.83203125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11.1640625" style="3" bestFit="1" customWidth="1"/>
    <col min="17" max="17" width="34.5" style="3" bestFit="1" customWidth="1"/>
    <col min="18" max="18" width="25.33203125" style="3" bestFit="1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67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68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69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70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47</v>
      </c>
      <c r="B7" s="10" t="s">
        <v>0</v>
      </c>
      <c r="C7" s="11" t="s">
        <v>48</v>
      </c>
      <c r="D7" s="12" t="s">
        <v>49</v>
      </c>
      <c r="E7" s="11" t="s">
        <v>50</v>
      </c>
      <c r="F7" s="13" t="s">
        <v>51</v>
      </c>
      <c r="G7" s="12" t="s">
        <v>52</v>
      </c>
      <c r="H7" s="9" t="s">
        <v>53</v>
      </c>
      <c r="I7" s="9" t="s">
        <v>54</v>
      </c>
      <c r="J7" s="9" t="s">
        <v>55</v>
      </c>
      <c r="K7" s="9" t="s">
        <v>56</v>
      </c>
      <c r="L7" s="11" t="s">
        <v>57</v>
      </c>
      <c r="M7" s="12" t="s">
        <v>1</v>
      </c>
      <c r="N7" s="9" t="s">
        <v>58</v>
      </c>
      <c r="O7" s="9" t="s">
        <v>2</v>
      </c>
      <c r="P7" s="9" t="s">
        <v>59</v>
      </c>
      <c r="Q7" s="9" t="s">
        <v>60</v>
      </c>
      <c r="R7" s="9" t="s">
        <v>61</v>
      </c>
      <c r="S7" s="12" t="s">
        <v>3</v>
      </c>
    </row>
    <row r="8" spans="1:19" x14ac:dyDescent="0.2">
      <c r="A8" s="3" t="s">
        <v>4</v>
      </c>
      <c r="B8" s="4">
        <v>45496</v>
      </c>
      <c r="C8" s="5">
        <v>45496</v>
      </c>
      <c r="D8" s="1">
        <v>38437</v>
      </c>
      <c r="E8" s="5">
        <v>45496</v>
      </c>
      <c r="F8" s="6">
        <v>1150035</v>
      </c>
      <c r="G8" s="1">
        <v>3550</v>
      </c>
      <c r="H8" s="3" t="s">
        <v>5</v>
      </c>
      <c r="I8" s="3" t="s">
        <v>6</v>
      </c>
      <c r="J8" s="3" t="s">
        <v>7</v>
      </c>
      <c r="K8" s="3" t="s">
        <v>8</v>
      </c>
      <c r="L8" s="5">
        <v>45496</v>
      </c>
      <c r="M8" s="1">
        <v>38437</v>
      </c>
      <c r="N8" s="3" t="s">
        <v>9</v>
      </c>
      <c r="O8" s="3" t="s">
        <v>10</v>
      </c>
      <c r="P8" s="3" t="s">
        <v>11</v>
      </c>
      <c r="Q8" s="3" t="s">
        <v>12</v>
      </c>
      <c r="R8" s="3" t="s">
        <v>13</v>
      </c>
      <c r="S8" s="7" t="s">
        <v>62</v>
      </c>
    </row>
    <row r="9" spans="1:19" x14ac:dyDescent="0.2">
      <c r="A9" s="3" t="s">
        <v>4</v>
      </c>
      <c r="B9" s="4">
        <v>45568</v>
      </c>
      <c r="C9" s="5">
        <v>45519</v>
      </c>
      <c r="D9" s="1">
        <v>38543</v>
      </c>
      <c r="E9" s="5">
        <v>45519</v>
      </c>
      <c r="F9" s="6">
        <v>51000</v>
      </c>
      <c r="G9" s="1">
        <v>3550</v>
      </c>
      <c r="H9" s="3" t="s">
        <v>5</v>
      </c>
      <c r="I9" s="3" t="s">
        <v>6</v>
      </c>
      <c r="J9" s="3" t="s">
        <v>7</v>
      </c>
      <c r="K9" s="3" t="s">
        <v>8</v>
      </c>
      <c r="L9" s="5">
        <v>45519</v>
      </c>
      <c r="M9" s="1">
        <v>38543</v>
      </c>
      <c r="N9" s="3" t="s">
        <v>9</v>
      </c>
      <c r="O9" s="3" t="s">
        <v>14</v>
      </c>
      <c r="P9" s="3" t="s">
        <v>15</v>
      </c>
      <c r="Q9" s="3" t="s">
        <v>16</v>
      </c>
      <c r="R9" s="3" t="s">
        <v>13</v>
      </c>
      <c r="S9" s="7" t="s">
        <v>62</v>
      </c>
    </row>
    <row r="10" spans="1:19" ht="56.25" x14ac:dyDescent="0.2">
      <c r="A10" s="3" t="s">
        <v>4</v>
      </c>
      <c r="B10" s="4">
        <v>45568</v>
      </c>
      <c r="C10" s="5">
        <v>45521</v>
      </c>
      <c r="D10" s="1">
        <v>38558</v>
      </c>
      <c r="E10" s="5">
        <v>45521</v>
      </c>
      <c r="F10" s="6">
        <v>146880</v>
      </c>
      <c r="G10" s="1">
        <v>3550</v>
      </c>
      <c r="H10" s="3" t="s">
        <v>5</v>
      </c>
      <c r="I10" s="3" t="s">
        <v>6</v>
      </c>
      <c r="J10" s="3" t="s">
        <v>7</v>
      </c>
      <c r="K10" s="3" t="s">
        <v>8</v>
      </c>
      <c r="L10" s="5">
        <v>45521</v>
      </c>
      <c r="M10" s="1">
        <v>38558</v>
      </c>
      <c r="N10" s="3" t="s">
        <v>9</v>
      </c>
      <c r="O10" s="3" t="s">
        <v>14</v>
      </c>
      <c r="P10" s="3" t="s">
        <v>17</v>
      </c>
      <c r="Q10" s="3" t="s">
        <v>18</v>
      </c>
      <c r="R10" s="3" t="s">
        <v>19</v>
      </c>
      <c r="S10" s="7" t="s">
        <v>63</v>
      </c>
    </row>
    <row r="11" spans="1:19" ht="56.25" x14ac:dyDescent="0.2">
      <c r="A11" s="3" t="s">
        <v>4</v>
      </c>
      <c r="B11" s="4">
        <v>45568</v>
      </c>
      <c r="C11" s="5">
        <v>45524</v>
      </c>
      <c r="D11" s="1">
        <v>38560</v>
      </c>
      <c r="E11" s="5">
        <v>45524</v>
      </c>
      <c r="F11" s="6">
        <v>10000</v>
      </c>
      <c r="G11" s="1">
        <v>3014</v>
      </c>
      <c r="H11" s="3" t="s">
        <v>20</v>
      </c>
      <c r="I11" s="3" t="s">
        <v>6</v>
      </c>
      <c r="J11" s="3" t="s">
        <v>7</v>
      </c>
      <c r="K11" s="3" t="s">
        <v>8</v>
      </c>
      <c r="L11" s="5">
        <v>45524</v>
      </c>
      <c r="M11" s="1">
        <v>38560</v>
      </c>
      <c r="N11" s="3" t="s">
        <v>9</v>
      </c>
      <c r="O11" s="3" t="s">
        <v>14</v>
      </c>
      <c r="P11" s="3" t="s">
        <v>21</v>
      </c>
      <c r="Q11" s="3" t="s">
        <v>22</v>
      </c>
      <c r="R11" s="3" t="s">
        <v>13</v>
      </c>
      <c r="S11" s="7" t="s">
        <v>64</v>
      </c>
    </row>
    <row r="12" spans="1:19" x14ac:dyDescent="0.2">
      <c r="A12" s="3" t="s">
        <v>4</v>
      </c>
      <c r="B12" s="4">
        <v>45568</v>
      </c>
      <c r="C12" s="5">
        <v>45546</v>
      </c>
      <c r="D12" s="1">
        <v>38669</v>
      </c>
      <c r="E12" s="5">
        <v>45546</v>
      </c>
      <c r="F12" s="6">
        <v>51000</v>
      </c>
      <c r="G12" s="1">
        <v>3550</v>
      </c>
      <c r="H12" s="3" t="s">
        <v>5</v>
      </c>
      <c r="I12" s="3" t="s">
        <v>6</v>
      </c>
      <c r="J12" s="3" t="s">
        <v>7</v>
      </c>
      <c r="K12" s="3" t="s">
        <v>8</v>
      </c>
      <c r="L12" s="5">
        <v>45546</v>
      </c>
      <c r="M12" s="1">
        <v>38669</v>
      </c>
      <c r="N12" s="3" t="s">
        <v>9</v>
      </c>
      <c r="O12" s="3" t="s">
        <v>23</v>
      </c>
      <c r="P12" s="3" t="s">
        <v>24</v>
      </c>
      <c r="Q12" s="3" t="s">
        <v>25</v>
      </c>
      <c r="R12" s="3" t="s">
        <v>13</v>
      </c>
      <c r="S12" s="7" t="s">
        <v>62</v>
      </c>
    </row>
    <row r="13" spans="1:19" x14ac:dyDescent="0.2">
      <c r="A13" s="3" t="s">
        <v>4</v>
      </c>
      <c r="B13" s="4">
        <v>45610</v>
      </c>
      <c r="C13" s="5">
        <v>45594</v>
      </c>
      <c r="D13" s="1">
        <v>38872</v>
      </c>
      <c r="E13" s="5">
        <v>45594</v>
      </c>
      <c r="F13" s="6">
        <v>77010</v>
      </c>
      <c r="G13" s="1">
        <v>3550</v>
      </c>
      <c r="H13" s="3" t="s">
        <v>5</v>
      </c>
      <c r="I13" s="3" t="s">
        <v>6</v>
      </c>
      <c r="J13" s="3" t="s">
        <v>7</v>
      </c>
      <c r="K13" s="3" t="s">
        <v>8</v>
      </c>
      <c r="L13" s="5">
        <v>45594</v>
      </c>
      <c r="M13" s="1">
        <v>38872</v>
      </c>
      <c r="N13" s="3" t="s">
        <v>9</v>
      </c>
      <c r="O13" s="3" t="s">
        <v>26</v>
      </c>
      <c r="P13" s="3" t="s">
        <v>27</v>
      </c>
      <c r="Q13" s="3" t="s">
        <v>28</v>
      </c>
      <c r="R13" s="3" t="s">
        <v>13</v>
      </c>
      <c r="S13" s="7" t="s">
        <v>62</v>
      </c>
    </row>
    <row r="14" spans="1:19" x14ac:dyDescent="0.2">
      <c r="A14" s="3" t="s">
        <v>4</v>
      </c>
      <c r="B14" s="4">
        <v>45604</v>
      </c>
      <c r="C14" s="5">
        <v>45604</v>
      </c>
      <c r="D14" s="1">
        <v>38927</v>
      </c>
      <c r="E14" s="5">
        <v>45604</v>
      </c>
      <c r="F14" s="6">
        <v>20000</v>
      </c>
      <c r="G14" s="1">
        <v>3014</v>
      </c>
      <c r="H14" s="3" t="s">
        <v>20</v>
      </c>
      <c r="I14" s="3" t="s">
        <v>6</v>
      </c>
      <c r="J14" s="3" t="s">
        <v>7</v>
      </c>
      <c r="K14" s="3" t="s">
        <v>8</v>
      </c>
      <c r="L14" s="5">
        <v>45604</v>
      </c>
      <c r="M14" s="1">
        <v>38927</v>
      </c>
      <c r="N14" s="3" t="s">
        <v>9</v>
      </c>
      <c r="O14" s="3" t="s">
        <v>29</v>
      </c>
      <c r="P14" s="3" t="s">
        <v>30</v>
      </c>
      <c r="Q14" s="3" t="s">
        <v>31</v>
      </c>
      <c r="R14" s="3" t="s">
        <v>13</v>
      </c>
      <c r="S14" s="7" t="s">
        <v>62</v>
      </c>
    </row>
    <row r="15" spans="1:19" x14ac:dyDescent="0.2">
      <c r="A15" s="3" t="s">
        <v>4</v>
      </c>
      <c r="B15" s="4">
        <v>45618</v>
      </c>
      <c r="C15" s="5">
        <v>45618</v>
      </c>
      <c r="D15" s="1">
        <v>38985</v>
      </c>
      <c r="E15" s="5">
        <v>45618</v>
      </c>
      <c r="F15" s="6">
        <v>139680</v>
      </c>
      <c r="G15" s="1">
        <v>3550</v>
      </c>
      <c r="H15" s="3" t="s">
        <v>5</v>
      </c>
      <c r="I15" s="3" t="s">
        <v>6</v>
      </c>
      <c r="J15" s="3" t="s">
        <v>7</v>
      </c>
      <c r="K15" s="3" t="s">
        <v>8</v>
      </c>
      <c r="L15" s="5">
        <v>45618</v>
      </c>
      <c r="M15" s="1">
        <v>38985</v>
      </c>
      <c r="N15" s="3" t="s">
        <v>9</v>
      </c>
      <c r="O15" s="3" t="s">
        <v>29</v>
      </c>
      <c r="P15" s="3" t="s">
        <v>32</v>
      </c>
      <c r="Q15" s="3" t="s">
        <v>33</v>
      </c>
      <c r="R15" s="3" t="s">
        <v>13</v>
      </c>
      <c r="S15" s="7" t="s">
        <v>62</v>
      </c>
    </row>
    <row r="16" spans="1:19" ht="67.5" x14ac:dyDescent="0.2">
      <c r="A16" s="3" t="s">
        <v>34</v>
      </c>
      <c r="B16" s="4">
        <v>45421</v>
      </c>
      <c r="C16" s="5">
        <v>45421</v>
      </c>
      <c r="D16" s="1">
        <v>34434</v>
      </c>
      <c r="E16" s="5">
        <v>45421</v>
      </c>
      <c r="F16" s="6">
        <v>355</v>
      </c>
      <c r="G16" s="1">
        <v>3002</v>
      </c>
      <c r="H16" s="3" t="s">
        <v>35</v>
      </c>
      <c r="I16" s="3" t="s">
        <v>6</v>
      </c>
      <c r="J16" s="3" t="s">
        <v>7</v>
      </c>
      <c r="K16" s="3" t="s">
        <v>36</v>
      </c>
      <c r="L16" s="5">
        <v>45421</v>
      </c>
      <c r="M16" s="1">
        <v>34434</v>
      </c>
      <c r="N16" s="3" t="s">
        <v>9</v>
      </c>
      <c r="O16" s="3" t="s">
        <v>37</v>
      </c>
      <c r="P16" s="3" t="s">
        <v>38</v>
      </c>
      <c r="Q16" s="3" t="s">
        <v>39</v>
      </c>
      <c r="R16" s="3" t="s">
        <v>40</v>
      </c>
      <c r="S16" s="7" t="s">
        <v>65</v>
      </c>
    </row>
    <row r="17" spans="1:19" ht="67.5" x14ac:dyDescent="0.2">
      <c r="A17" s="3" t="s">
        <v>34</v>
      </c>
      <c r="B17" s="4">
        <v>45623</v>
      </c>
      <c r="C17" s="5">
        <v>45623</v>
      </c>
      <c r="D17" s="1">
        <v>21247</v>
      </c>
      <c r="E17" s="5">
        <v>45608</v>
      </c>
      <c r="F17" s="6">
        <v>21</v>
      </c>
      <c r="G17" s="1">
        <v>3003</v>
      </c>
      <c r="H17" s="3" t="s">
        <v>41</v>
      </c>
      <c r="I17" s="3" t="s">
        <v>6</v>
      </c>
      <c r="J17" s="3" t="s">
        <v>7</v>
      </c>
      <c r="K17" s="3" t="s">
        <v>42</v>
      </c>
      <c r="L17" s="5">
        <v>45608</v>
      </c>
      <c r="M17" s="1">
        <v>21247</v>
      </c>
      <c r="N17" s="3" t="s">
        <v>9</v>
      </c>
      <c r="O17" s="3" t="s">
        <v>29</v>
      </c>
      <c r="P17" s="3" t="s">
        <v>43</v>
      </c>
      <c r="Q17" s="3" t="s">
        <v>44</v>
      </c>
      <c r="R17" s="3" t="s">
        <v>45</v>
      </c>
      <c r="S17" s="7" t="s">
        <v>66</v>
      </c>
    </row>
    <row r="18" spans="1:19" x14ac:dyDescent="0.2">
      <c r="A18" s="3" t="s">
        <v>46</v>
      </c>
      <c r="D18" s="2"/>
      <c r="G18" s="2"/>
      <c r="M18" s="2"/>
      <c r="R18" s="14">
        <f>SUBTOTAL(103,Errores_Emision[EMAIL])</f>
        <v>10</v>
      </c>
      <c r="S18" s="8"/>
    </row>
  </sheetData>
  <conditionalFormatting sqref="A8:S17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2024-12-26T16:01:11Z</dcterms:created>
  <dcterms:modified xsi:type="dcterms:W3CDTF">2024-12-26T16:01:12Z</dcterms:modified>
</cp:coreProperties>
</file>