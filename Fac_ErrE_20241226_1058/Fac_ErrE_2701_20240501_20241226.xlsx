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65B52795-72C9-4B8A-810F-7C2977E14AF4}" xr6:coauthVersionLast="47" xr6:coauthVersionMax="47" xr10:uidLastSave="{00000000-0000-0000-0000-000000000000}"/>
  <bookViews>
    <workbookView xWindow="2295" yWindow="2295" windowWidth="21600" windowHeight="11385" xr2:uid="{2E99817D-9744-47CC-9B30-C254B5E0F072}"/>
  </bookViews>
  <sheets>
    <sheet name="Error_Emision" sheetId="1" r:id="rId1"/>
  </sheets>
  <definedNames>
    <definedName name="_xlnm._FilterDatabase" localSheetId="0" hidden="1">Error_Emision!$A$7:$S$17</definedName>
    <definedName name="_xlnm.Database">Error_Emision!$A$7:$S$17</definedName>
  </definedNames>
  <calcPr calcId="191029"/>
</workbook>
</file>

<file path=xl/calcChain.xml><?xml version="1.0" encoding="utf-8"?>
<calcChain xmlns="http://schemas.openxmlformats.org/spreadsheetml/2006/main">
  <c r="R18" i="1" l="1"/>
</calcChain>
</file>

<file path=xl/sharedStrings.xml><?xml version="1.0" encoding="utf-8"?>
<sst xmlns="http://schemas.openxmlformats.org/spreadsheetml/2006/main" count="134" uniqueCount="76">
  <si>
    <t>AUD_UFAC</t>
  </si>
  <si>
    <t>CXC_NUME</t>
  </si>
  <si>
    <t>MES</t>
  </si>
  <si>
    <t>ERROR</t>
  </si>
  <si>
    <t>facon023</t>
  </si>
  <si>
    <t>NOTA CREDITO</t>
  </si>
  <si>
    <t>2701</t>
  </si>
  <si>
    <t>CAMPOALEGRE</t>
  </si>
  <si>
    <t>NOTACRE</t>
  </si>
  <si>
    <t>2024</t>
  </si>
  <si>
    <t>05</t>
  </si>
  <si>
    <t>901402986</t>
  </si>
  <si>
    <t>AGROBAL DEL SUR SAS .</t>
  </si>
  <si>
    <t>agrobaldelsur@gmail.com</t>
  </si>
  <si>
    <t>FACAR002</t>
  </si>
  <si>
    <t>36086310</t>
  </si>
  <si>
    <t>FLORA SANCHEZ LOSADA</t>
  </si>
  <si>
    <t>1660fsanchez@gmail.com</t>
  </si>
  <si>
    <t>14270266</t>
  </si>
  <si>
    <t>ORLANDO MOLINA GUTIERREZ</t>
  </si>
  <si>
    <t>orlandomoli@hotmail.com</t>
  </si>
  <si>
    <t>1079411177</t>
  </si>
  <si>
    <t>MARIA XIOMARA MALDONADO BOLAÐOS .</t>
  </si>
  <si>
    <t>xmaldonadobolanos@gmail.com</t>
  </si>
  <si>
    <t>FACAMPOALEGRE02</t>
  </si>
  <si>
    <t>17052788</t>
  </si>
  <si>
    <t>JESUS ANTONIO GARCIA CABRERA</t>
  </si>
  <si>
    <t>titogarca@hotmail.com</t>
  </si>
  <si>
    <t>1076988036</t>
  </si>
  <si>
    <t>KAREN JULIETH GARZON ESCOBAR .</t>
  </si>
  <si>
    <t>garzon.karen988@gmail.com</t>
  </si>
  <si>
    <t>14221093</t>
  </si>
  <si>
    <t>GONZALO DURAN LOSADA</t>
  </si>
  <si>
    <t>godulo58@yahoo.com</t>
  </si>
  <si>
    <t>FACAMPOALEGRE04</t>
  </si>
  <si>
    <t>FACTURA AFILIACION AGRICULTORES</t>
  </si>
  <si>
    <t>FACTURA</t>
  </si>
  <si>
    <t>901253182</t>
  </si>
  <si>
    <t>COMERCIALIZADORA FIGUEROA MU±OZ SAS ZOMA</t>
  </si>
  <si>
    <t>cfmsascontable@hotmail.com</t>
  </si>
  <si>
    <t>FACTURA INVENTARIO</t>
  </si>
  <si>
    <t>11</t>
  </si>
  <si>
    <t>4894441</t>
  </si>
  <si>
    <t>EFRAIN CAVIEDES PANTEVES</t>
  </si>
  <si>
    <t>.</t>
  </si>
  <si>
    <t>FACOM024</t>
  </si>
  <si>
    <t>NC DEVOLUCION CLIENTE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</si>
  <si>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</si>
  <si>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</si>
  <si>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</si>
  <si>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</si>
  <si>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</si>
  <si>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</si>
  <si>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</si>
  <si>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</si>
  <si>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</si>
  <si>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</si>
  <si>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</si>
  <si>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</si>
  <si>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</si>
  <si>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</si>
  <si>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</si>
  <si>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</si>
  <si>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[24C270116995].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</si>
  <si>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[24C270116996].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</si>
  <si>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[24C270116997].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</si>
  <si>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[24C270116998].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</si>
  <si>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[24C270116999]. Descripción: [Validación contiene errores en campos mandatorios.] - Errores: [Regla: CBG05, Rechazo: Algoritmo referenciado no existe,Regla: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</si>
  <si>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[24C270117002]. Descripción: [Validación contiene errores en campos mandatorios.] - Errores: [Regla: CAE04, Rechazo: No fue informado el fin del periodo de facturación que modifica esta nota crédito,Regla: ZB01, Rechazo: Error en el esquemeeeee - cvc-datatype-valid.1.2.1: '' is not a valid value for 'date'. - ,Regla: CAE02, Rechazo: No fue informado el inicio del periodo de facturación que modifica esta nota crédito,Regla: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</si>
  <si>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[24C270117003]. Descripción: [Validación contiene errores en campos mandatorios.] - Errores: [Regla: CAE02, Rechazo: No fue informado el inicio del periodo de facturación que modifica esta nota crédito,Regla: ZB01, Rechazo: Error en el esquemeeeee - cvc-datatype-valid.1.2.1: '' is not a valid value for 'date'. - 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</si>
  <si>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[270147394].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</si>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</sst>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A39B9-0BCB-4A37-8976-195BABF7FB93}" name="Errores_Emision" displayName="Errores_Emision" ref="A7:S18" totalsRowCount="1" headerRowDxfId="3" dataDxfId="42" totalsRowDxfId="43" headerRowBorderDxfId="4">
  <autoFilter ref="A7:S17" xr:uid="{B34A7EB3-65A7-414F-9B85-ED7A067CF218}"/>
  <tableColumns count="19">
    <tableColumn id="1" xr3:uid="{F9C8D85E-AC23-4A35-98DD-85AD4EEB11EC}" name="USUARIO" totalsRowLabel="Total" dataDxfId="36" totalsRowDxfId="37"/>
    <tableColumn id="2" xr3:uid="{E3763C26-1D77-4A6E-BACC-240D44FC1E63}" name="AUD_UFAC" dataDxfId="34" totalsRowDxfId="35"/>
    <tableColumn id="3" xr3:uid="{3D5C2A83-34DC-4A4C-8B07-232DC2DFA2F2}" name="FECH_APLICA" dataDxfId="33" totalsRowDxfId="32"/>
    <tableColumn id="4" xr3:uid="{F7EBE391-358A-4142-9D5B-AC1D5F024CAD}" name="DOCUMENTO" dataDxfId="31" totalsRowDxfId="41"/>
    <tableColumn id="5" xr3:uid="{08CCE19E-5A0F-4D35-BCB1-B8DF9390D379}" name="FECH_DOCUMENTO" dataDxfId="29" totalsRowDxfId="30"/>
    <tableColumn id="6" xr3:uid="{8B5FDA34-3599-4AB0-9CA8-082C405EEE24}" name="FAC_VLR_TOTAL" dataDxfId="28" totalsRowDxfId="27"/>
    <tableColumn id="7" xr3:uid="{C5837FCA-A245-4E9C-BE28-6F57B4FA0AA8}" name="COD_TIPO_OPERAC" dataDxfId="26" totalsRowDxfId="40"/>
    <tableColumn id="8" xr3:uid="{FABC14A5-3346-4C13-B6A1-C6668ED262E8}" name="TIPO_OPERAC" dataDxfId="24" totalsRowDxfId="25"/>
    <tableColumn id="9" xr3:uid="{1A6CE6F1-BA40-4ADD-8C65-9BEB2DAF5F3C}" name="COD_SUCUR" dataDxfId="22" totalsRowDxfId="23"/>
    <tableColumn id="10" xr3:uid="{994054CC-0059-49B9-88B1-81559F3D3168}" name="SUCURSAL" dataDxfId="20" totalsRowDxfId="21"/>
    <tableColumn id="11" xr3:uid="{642D44D6-1539-4C05-921F-1BE447629984}" name="TIPO_DOCUMENTO" dataDxfId="18" totalsRowDxfId="19"/>
    <tableColumn id="12" xr3:uid="{9E5E7F3D-BE96-4E1B-B9AD-E21D7827B033}" name="FECH_FACTURA" dataDxfId="17" totalsRowDxfId="16"/>
    <tableColumn id="13" xr3:uid="{5CAD3F55-8AE4-474E-8DD8-A54E86639DC6}" name="CXC_NUME" dataDxfId="15" totalsRowDxfId="39"/>
    <tableColumn id="14" xr3:uid="{CB1EE476-EB56-47D7-A2FB-0397A6EF1DFA}" name="AÑO" dataDxfId="13" totalsRowDxfId="14"/>
    <tableColumn id="15" xr3:uid="{9B0218DB-A01F-442F-8E82-C5975DAD2D08}" name="MES" dataDxfId="11" totalsRowDxfId="12"/>
    <tableColumn id="16" xr3:uid="{5C48B1F5-8037-4EEA-9628-42F2B3840533}" name="NIT" dataDxfId="9" totalsRowDxfId="10"/>
    <tableColumn id="17" xr3:uid="{FA0C2F19-0BE7-49BF-BF9F-6235F0FC2BF1}" name="NOMBRE" dataDxfId="7" totalsRowDxfId="8"/>
    <tableColumn id="18" xr3:uid="{3A4940D3-D171-4F57-AA25-F1650FD9C49D}" name="EMAIL" totalsRowFunction="count" dataDxfId="5" totalsRowDxfId="2"/>
    <tableColumn id="19" xr3:uid="{36A21D24-8640-46EB-9004-E5839C56901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7EB3-65A7-414F-9B85-ED7A067CF218}">
  <sheetPr>
    <tabColor rgb="FF92D050"/>
  </sheetPr>
  <dimension ref="A1:S18"/>
  <sheetViews>
    <sheetView showGridLines="0" tabSelected="1" workbookViewId="0"/>
  </sheetViews>
  <sheetFormatPr baseColWidth="10" defaultRowHeight="11.25" x14ac:dyDescent="0.2"/>
  <cols>
    <col min="1" max="1" width="19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7.6640625" style="3" bestFit="1" customWidth="1"/>
    <col min="18" max="18" width="26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72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73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74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75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48</v>
      </c>
      <c r="B7" s="10" t="s">
        <v>0</v>
      </c>
      <c r="C7" s="11" t="s">
        <v>49</v>
      </c>
      <c r="D7" s="12" t="s">
        <v>50</v>
      </c>
      <c r="E7" s="11" t="s">
        <v>51</v>
      </c>
      <c r="F7" s="13" t="s">
        <v>52</v>
      </c>
      <c r="G7" s="12" t="s">
        <v>53</v>
      </c>
      <c r="H7" s="9" t="s">
        <v>54</v>
      </c>
      <c r="I7" s="9" t="s">
        <v>55</v>
      </c>
      <c r="J7" s="9" t="s">
        <v>56</v>
      </c>
      <c r="K7" s="9" t="s">
        <v>57</v>
      </c>
      <c r="L7" s="11" t="s">
        <v>58</v>
      </c>
      <c r="M7" s="12" t="s">
        <v>1</v>
      </c>
      <c r="N7" s="9" t="s">
        <v>59</v>
      </c>
      <c r="O7" s="9" t="s">
        <v>2</v>
      </c>
      <c r="P7" s="9" t="s">
        <v>60</v>
      </c>
      <c r="Q7" s="9" t="s">
        <v>61</v>
      </c>
      <c r="R7" s="9" t="s">
        <v>62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16995</v>
      </c>
      <c r="E8" s="5">
        <v>45414</v>
      </c>
      <c r="F8" s="6">
        <v>60129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16995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63</v>
      </c>
    </row>
    <row r="9" spans="1:19" ht="67.5" x14ac:dyDescent="0.2">
      <c r="A9" s="3" t="s">
        <v>14</v>
      </c>
      <c r="B9" s="4">
        <v>45414</v>
      </c>
      <c r="C9" s="5">
        <v>45414</v>
      </c>
      <c r="D9" s="1">
        <v>16996</v>
      </c>
      <c r="E9" s="5">
        <v>45414</v>
      </c>
      <c r="F9" s="6">
        <v>197014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45414</v>
      </c>
      <c r="M9" s="1">
        <v>16996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64</v>
      </c>
    </row>
    <row r="10" spans="1:19" ht="67.5" x14ac:dyDescent="0.2">
      <c r="A10" s="3" t="s">
        <v>4</v>
      </c>
      <c r="B10" s="4">
        <v>45414</v>
      </c>
      <c r="C10" s="5">
        <v>45441</v>
      </c>
      <c r="D10" s="1">
        <v>16997</v>
      </c>
      <c r="E10" s="5">
        <v>45414</v>
      </c>
      <c r="F10" s="6">
        <v>43154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45414</v>
      </c>
      <c r="M10" s="1">
        <v>16997</v>
      </c>
      <c r="N10" s="3" t="s">
        <v>9</v>
      </c>
      <c r="O10" s="3" t="s">
        <v>10</v>
      </c>
      <c r="P10" s="3" t="s">
        <v>18</v>
      </c>
      <c r="Q10" s="3" t="s">
        <v>19</v>
      </c>
      <c r="R10" s="3" t="s">
        <v>20</v>
      </c>
      <c r="S10" s="7" t="s">
        <v>65</v>
      </c>
    </row>
    <row r="11" spans="1:19" ht="67.5" x14ac:dyDescent="0.2">
      <c r="A11" s="3" t="s">
        <v>4</v>
      </c>
      <c r="B11" s="4">
        <v>45414</v>
      </c>
      <c r="C11" s="5">
        <v>45441</v>
      </c>
      <c r="D11" s="1">
        <v>16998</v>
      </c>
      <c r="E11" s="5">
        <v>45414</v>
      </c>
      <c r="F11" s="6">
        <v>197905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45414</v>
      </c>
      <c r="M11" s="1">
        <v>16998</v>
      </c>
      <c r="N11" s="3" t="s">
        <v>9</v>
      </c>
      <c r="O11" s="3" t="s">
        <v>10</v>
      </c>
      <c r="P11" s="3" t="s">
        <v>21</v>
      </c>
      <c r="Q11" s="3" t="s">
        <v>22</v>
      </c>
      <c r="R11" s="3" t="s">
        <v>23</v>
      </c>
      <c r="S11" s="7" t="s">
        <v>66</v>
      </c>
    </row>
    <row r="12" spans="1:19" ht="56.25" x14ac:dyDescent="0.2">
      <c r="A12" s="3" t="s">
        <v>24</v>
      </c>
      <c r="B12" s="4">
        <v>45415</v>
      </c>
      <c r="C12" s="5">
        <v>45415</v>
      </c>
      <c r="D12" s="1">
        <v>16999</v>
      </c>
      <c r="E12" s="5">
        <v>45415</v>
      </c>
      <c r="F12" s="6">
        <v>93189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45415</v>
      </c>
      <c r="M12" s="1">
        <v>16999</v>
      </c>
      <c r="N12" s="3" t="s">
        <v>9</v>
      </c>
      <c r="O12" s="3" t="s">
        <v>10</v>
      </c>
      <c r="P12" s="3" t="s">
        <v>25</v>
      </c>
      <c r="Q12" s="3" t="s">
        <v>26</v>
      </c>
      <c r="R12" s="3" t="s">
        <v>27</v>
      </c>
      <c r="S12" s="7" t="s">
        <v>67</v>
      </c>
    </row>
    <row r="13" spans="1:19" ht="90" x14ac:dyDescent="0.2">
      <c r="A13" s="3" t="s">
        <v>14</v>
      </c>
      <c r="B13" s="4">
        <v>45419</v>
      </c>
      <c r="C13" s="5">
        <v>45418</v>
      </c>
      <c r="D13" s="1">
        <v>17002</v>
      </c>
      <c r="E13" s="5">
        <v>45418</v>
      </c>
      <c r="F13" s="6">
        <v>51791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45418</v>
      </c>
      <c r="M13" s="1">
        <v>17002</v>
      </c>
      <c r="N13" s="3" t="s">
        <v>9</v>
      </c>
      <c r="O13" s="3" t="s">
        <v>10</v>
      </c>
      <c r="P13" s="3" t="s">
        <v>28</v>
      </c>
      <c r="Q13" s="3" t="s">
        <v>29</v>
      </c>
      <c r="R13" s="3" t="s">
        <v>30</v>
      </c>
      <c r="S13" s="7" t="s">
        <v>68</v>
      </c>
    </row>
    <row r="14" spans="1:19" ht="78.75" x14ac:dyDescent="0.2">
      <c r="A14" s="3" t="s">
        <v>14</v>
      </c>
      <c r="B14" s="4">
        <v>45419</v>
      </c>
      <c r="C14" s="5">
        <v>45419</v>
      </c>
      <c r="D14" s="1">
        <v>17003</v>
      </c>
      <c r="E14" s="5">
        <v>45419</v>
      </c>
      <c r="F14" s="6">
        <v>543427</v>
      </c>
      <c r="G14" s="1">
        <v>3003</v>
      </c>
      <c r="H14" s="3" t="s">
        <v>5</v>
      </c>
      <c r="I14" s="3" t="s">
        <v>6</v>
      </c>
      <c r="J14" s="3" t="s">
        <v>7</v>
      </c>
      <c r="K14" s="3" t="s">
        <v>8</v>
      </c>
      <c r="L14" s="5">
        <v>45419</v>
      </c>
      <c r="M14" s="1">
        <v>17003</v>
      </c>
      <c r="N14" s="3" t="s">
        <v>9</v>
      </c>
      <c r="O14" s="3" t="s">
        <v>10</v>
      </c>
      <c r="P14" s="3" t="s">
        <v>31</v>
      </c>
      <c r="Q14" s="3" t="s">
        <v>32</v>
      </c>
      <c r="R14" s="3" t="s">
        <v>33</v>
      </c>
      <c r="S14" s="7" t="s">
        <v>69</v>
      </c>
    </row>
    <row r="15" spans="1:19" ht="56.25" x14ac:dyDescent="0.2">
      <c r="A15" s="3" t="s">
        <v>34</v>
      </c>
      <c r="B15" s="4">
        <v>45441</v>
      </c>
      <c r="C15" s="5">
        <v>45426</v>
      </c>
      <c r="D15" s="1">
        <v>47394</v>
      </c>
      <c r="E15" s="5">
        <v>45426</v>
      </c>
      <c r="F15" s="6">
        <v>2000</v>
      </c>
      <c r="G15" s="1">
        <v>3014</v>
      </c>
      <c r="H15" s="3" t="s">
        <v>35</v>
      </c>
      <c r="I15" s="3" t="s">
        <v>6</v>
      </c>
      <c r="J15" s="3" t="s">
        <v>7</v>
      </c>
      <c r="K15" s="3" t="s">
        <v>36</v>
      </c>
      <c r="L15" s="5">
        <v>45426</v>
      </c>
      <c r="M15" s="1">
        <v>47394</v>
      </c>
      <c r="N15" s="3" t="s">
        <v>9</v>
      </c>
      <c r="O15" s="3" t="s">
        <v>10</v>
      </c>
      <c r="P15" s="3" t="s">
        <v>37</v>
      </c>
      <c r="Q15" s="3" t="s">
        <v>38</v>
      </c>
      <c r="R15" s="3" t="s">
        <v>39</v>
      </c>
      <c r="S15" s="7" t="s">
        <v>70</v>
      </c>
    </row>
    <row r="16" spans="1:19" x14ac:dyDescent="0.2">
      <c r="A16" s="3" t="s">
        <v>34</v>
      </c>
      <c r="B16" s="4">
        <v>45623</v>
      </c>
      <c r="C16" s="5">
        <v>45621</v>
      </c>
      <c r="D16" s="1">
        <v>49011</v>
      </c>
      <c r="E16" s="5">
        <v>45621</v>
      </c>
      <c r="F16" s="6">
        <v>997453</v>
      </c>
      <c r="G16" s="1">
        <v>3511</v>
      </c>
      <c r="H16" s="3" t="s">
        <v>40</v>
      </c>
      <c r="I16" s="3" t="s">
        <v>6</v>
      </c>
      <c r="J16" s="3" t="s">
        <v>7</v>
      </c>
      <c r="K16" s="3" t="s">
        <v>36</v>
      </c>
      <c r="L16" s="5">
        <v>45621</v>
      </c>
      <c r="M16" s="1">
        <v>49011</v>
      </c>
      <c r="N16" s="3" t="s">
        <v>9</v>
      </c>
      <c r="O16" s="3" t="s">
        <v>41</v>
      </c>
      <c r="P16" s="3" t="s">
        <v>42</v>
      </c>
      <c r="Q16" s="3" t="s">
        <v>43</v>
      </c>
      <c r="R16" s="3" t="s">
        <v>44</v>
      </c>
      <c r="S16" s="7" t="s">
        <v>71</v>
      </c>
    </row>
    <row r="17" spans="1:19" x14ac:dyDescent="0.2">
      <c r="A17" s="3" t="s">
        <v>45</v>
      </c>
      <c r="B17" s="4">
        <v>45625</v>
      </c>
      <c r="C17" s="5">
        <v>45624</v>
      </c>
      <c r="D17" s="1">
        <v>17500</v>
      </c>
      <c r="E17" s="5">
        <v>45624</v>
      </c>
      <c r="F17" s="6">
        <v>997453</v>
      </c>
      <c r="G17" s="1">
        <v>3512</v>
      </c>
      <c r="H17" s="3" t="s">
        <v>46</v>
      </c>
      <c r="I17" s="3" t="s">
        <v>6</v>
      </c>
      <c r="J17" s="3" t="s">
        <v>7</v>
      </c>
      <c r="K17" s="3" t="s">
        <v>8</v>
      </c>
      <c r="L17" s="5">
        <v>45624</v>
      </c>
      <c r="M17" s="1">
        <v>17500</v>
      </c>
      <c r="N17" s="3" t="s">
        <v>9</v>
      </c>
      <c r="O17" s="3" t="s">
        <v>41</v>
      </c>
      <c r="P17" s="3" t="s">
        <v>42</v>
      </c>
      <c r="Q17" s="3" t="s">
        <v>43</v>
      </c>
      <c r="R17" s="3" t="s">
        <v>44</v>
      </c>
      <c r="S17" s="7" t="s">
        <v>71</v>
      </c>
    </row>
    <row r="18" spans="1:19" x14ac:dyDescent="0.2">
      <c r="A18" s="3" t="s">
        <v>47</v>
      </c>
      <c r="D18" s="2"/>
      <c r="G18" s="2"/>
      <c r="M18" s="2"/>
      <c r="R18" s="14">
        <f>SUBTOTAL(103,Errores_Emision[EMAIL])</f>
        <v>10</v>
      </c>
      <c r="S18" s="8"/>
    </row>
  </sheetData>
  <conditionalFormatting sqref="A8:S17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2024-12-26T16:01:42Z</dcterms:created>
  <dcterms:modified xsi:type="dcterms:W3CDTF">2024-12-26T16:01:44Z</dcterms:modified>
</cp:coreProperties>
</file>