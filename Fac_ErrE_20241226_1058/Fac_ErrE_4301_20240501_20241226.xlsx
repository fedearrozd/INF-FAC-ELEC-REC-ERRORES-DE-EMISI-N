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DB7B862B-CB78-49F1-B82A-B94D220BB402}" xr6:coauthVersionLast="47" xr6:coauthVersionMax="47" xr10:uidLastSave="{00000000-0000-0000-0000-000000000000}"/>
  <bookViews>
    <workbookView xWindow="2295" yWindow="2295" windowWidth="21600" windowHeight="11385" xr2:uid="{34A91B4F-BDD4-4D17-A9A0-247DEFFA001C}"/>
  </bookViews>
  <sheets>
    <sheet name="Error_Emision" sheetId="1" r:id="rId1"/>
  </sheets>
  <definedNames>
    <definedName name="_xlnm._FilterDatabase" localSheetId="0" hidden="1">Error_Emision!$A$7:$S$14</definedName>
    <definedName name="_xlnm.Database">Error_Emision!$A$7:$S$14</definedName>
  </definedNames>
  <calcPr calcId="191029"/>
</workbook>
</file>

<file path=xl/calcChain.xml><?xml version="1.0" encoding="utf-8"?>
<calcChain xmlns="http://schemas.openxmlformats.org/spreadsheetml/2006/main">
  <c r="R15" i="1" l="1"/>
</calcChain>
</file>

<file path=xl/sharedStrings.xml><?xml version="1.0" encoding="utf-8"?>
<sst xmlns="http://schemas.openxmlformats.org/spreadsheetml/2006/main" count="101" uniqueCount="53">
  <si>
    <t>AUD_UFAC</t>
  </si>
  <si>
    <t>CXC_NUME</t>
  </si>
  <si>
    <t>MES</t>
  </si>
  <si>
    <t>ERROR</t>
  </si>
  <si>
    <t>FACAR002</t>
  </si>
  <si>
    <t>NOTA CREDITO</t>
  </si>
  <si>
    <t>4301</t>
  </si>
  <si>
    <t>FUNDACION</t>
  </si>
  <si>
    <t>NOTACRE</t>
  </si>
  <si>
    <t>2024</t>
  </si>
  <si>
    <t>05</t>
  </si>
  <si>
    <t>19611582</t>
  </si>
  <si>
    <t>MANUEL FRANCISCO MOLINA VERGARA .</t>
  </si>
  <si>
    <t>manuelfranciscomolina1234@gmail.com</t>
  </si>
  <si>
    <t>FAFUNDACIO04</t>
  </si>
  <si>
    <t>09</t>
  </si>
  <si>
    <t>891702400</t>
  </si>
  <si>
    <t>OLEAGINOSAS CARIBU LTDA. .</t>
  </si>
  <si>
    <t>oleaginosascaribu@gmail.com</t>
  </si>
  <si>
    <t>FAFUNDACIO07</t>
  </si>
  <si>
    <t>FACTURA INVENTARIO</t>
  </si>
  <si>
    <t>FACTURA</t>
  </si>
  <si>
    <t>11</t>
  </si>
  <si>
    <t>890105495</t>
  </si>
  <si>
    <t>AGROPECUARIA LA UNION S.A.S. .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</si>
  <si>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</si>
  <si>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</si>
  <si>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</si>
  <si>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</si>
  <si>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</si>
  <si>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</si>
  <si>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</si>
  <si>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</si>
  <si>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</si>
  <si>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</si>
  <si>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</si>
  <si>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</si>
  <si>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</si>
  <si>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</si>
  <si>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</si>
  <si>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</si>
  <si>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</si>
  <si>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[24F430139455]. Descripción: [Validación contiene errores en campos mandatorios.] - Errores: [Regla: CAE02, Rechazo: No fue informado el inicio del periodo de facturación que modifica esta nota crédito,Regla: ZB01, Rechazo: Error en el esquemeeeee - cvc-datatype-valid.1.2.1: '' is not a valid value for 'date'. - 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</si>
  <si>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</si>
  <si>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[24F430139513].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</si>
  <si>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[24F430139514].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</si>
  <si>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[24F430139515].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</si>
  <si>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[24F430139516].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</si>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</sst>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79EEF-C945-4450-AA35-C7DA224AA159}" name="Errores_Emision" displayName="Errores_Emision" ref="A7:S15" totalsRowCount="1" headerRowDxfId="3" dataDxfId="42" totalsRowDxfId="43" headerRowBorderDxfId="4">
  <autoFilter ref="A7:S14" xr:uid="{61A6712E-D784-4F0F-BAC9-30B35CC1C010}"/>
  <tableColumns count="19">
    <tableColumn id="1" xr3:uid="{8DD8C0FA-EFE9-4CFE-B4CC-45F59A937AE6}" name="USUARIO" totalsRowLabel="Total" dataDxfId="36" totalsRowDxfId="37"/>
    <tableColumn id="2" xr3:uid="{C0829738-F7AE-4D1E-B904-26020EFCAEB1}" name="AUD_UFAC" dataDxfId="34" totalsRowDxfId="35"/>
    <tableColumn id="3" xr3:uid="{74E2E71C-BA86-4FD2-B636-A84C0CB2DCBE}" name="FECH_APLICA" dataDxfId="33" totalsRowDxfId="32"/>
    <tableColumn id="4" xr3:uid="{44352C8C-EB50-40E0-B0F8-B65C30D3728B}" name="DOCUMENTO" dataDxfId="31" totalsRowDxfId="41"/>
    <tableColumn id="5" xr3:uid="{1754F62C-6648-46AD-A27A-96B18A1CE714}" name="FECH_DOCUMENTO" dataDxfId="29" totalsRowDxfId="30"/>
    <tableColumn id="6" xr3:uid="{575B0608-7F25-4559-8436-A0FE391B165D}" name="FAC_VLR_TOTAL" dataDxfId="28" totalsRowDxfId="27"/>
    <tableColumn id="7" xr3:uid="{346A7C4D-E1D6-4AAC-BC49-AA92566DA388}" name="COD_TIPO_OPERAC" dataDxfId="26" totalsRowDxfId="40"/>
    <tableColumn id="8" xr3:uid="{5A48673A-BAF1-44FE-B07C-5E0EA92662E6}" name="TIPO_OPERAC" dataDxfId="24" totalsRowDxfId="25"/>
    <tableColumn id="9" xr3:uid="{DAB927C8-14EA-49CB-A13E-8B177A614F14}" name="COD_SUCUR" dataDxfId="22" totalsRowDxfId="23"/>
    <tableColumn id="10" xr3:uid="{AEBD6121-3106-40D8-8BA4-B5507CC2CAE5}" name="SUCURSAL" dataDxfId="20" totalsRowDxfId="21"/>
    <tableColumn id="11" xr3:uid="{012444FA-54D6-4340-8F6A-FAB135F6978A}" name="TIPO_DOCUMENTO" dataDxfId="18" totalsRowDxfId="19"/>
    <tableColumn id="12" xr3:uid="{243A03CA-5799-45B6-BEF9-DA2437900B73}" name="FECH_FACTURA" dataDxfId="17" totalsRowDxfId="16"/>
    <tableColumn id="13" xr3:uid="{F98E323C-FA7E-4772-B370-77F5C4FE5137}" name="CXC_NUME" dataDxfId="15" totalsRowDxfId="39"/>
    <tableColumn id="14" xr3:uid="{D4051609-66F5-46BA-A18D-3FC2B3FB8E96}" name="AÑO" dataDxfId="13" totalsRowDxfId="14"/>
    <tableColumn id="15" xr3:uid="{9B713320-C955-459A-92DF-E41D6AF109AC}" name="MES" dataDxfId="11" totalsRowDxfId="12"/>
    <tableColumn id="16" xr3:uid="{315A69ED-0985-4832-A0B4-1778F97E283C}" name="NIT" dataDxfId="9" totalsRowDxfId="10"/>
    <tableColumn id="17" xr3:uid="{1487CFD1-20CF-45D7-A224-1AE675E70B96}" name="NOMBRE" dataDxfId="7" totalsRowDxfId="8"/>
    <tableColumn id="18" xr3:uid="{58EFF57D-EE05-4370-8201-F628CE37D0F0}" name="EMAIL" totalsRowFunction="count" dataDxfId="5" totalsRowDxfId="2"/>
    <tableColumn id="19" xr3:uid="{3EB2463C-28D3-42B6-949C-8AA91A054CE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712E-D784-4F0F-BAC9-30B35CC1C010}">
  <sheetPr>
    <tabColor rgb="FF92D050"/>
  </sheetPr>
  <dimension ref="A1:S15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8.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27</v>
      </c>
      <c r="B7" s="10" t="s">
        <v>0</v>
      </c>
      <c r="C7" s="11" t="s">
        <v>28</v>
      </c>
      <c r="D7" s="12" t="s">
        <v>29</v>
      </c>
      <c r="E7" s="11" t="s">
        <v>30</v>
      </c>
      <c r="F7" s="13" t="s">
        <v>31</v>
      </c>
      <c r="G7" s="12" t="s">
        <v>32</v>
      </c>
      <c r="H7" s="9" t="s">
        <v>33</v>
      </c>
      <c r="I7" s="9" t="s">
        <v>34</v>
      </c>
      <c r="J7" s="9" t="s">
        <v>35</v>
      </c>
      <c r="K7" s="9" t="s">
        <v>36</v>
      </c>
      <c r="L7" s="11" t="s">
        <v>37</v>
      </c>
      <c r="M7" s="12" t="s">
        <v>1</v>
      </c>
      <c r="N7" s="9" t="s">
        <v>38</v>
      </c>
      <c r="O7" s="9" t="s">
        <v>2</v>
      </c>
      <c r="P7" s="9" t="s">
        <v>39</v>
      </c>
      <c r="Q7" s="9" t="s">
        <v>40</v>
      </c>
      <c r="R7" s="9" t="s">
        <v>41</v>
      </c>
      <c r="S7" s="12" t="s">
        <v>3</v>
      </c>
    </row>
    <row r="8" spans="1:19" ht="78.75" x14ac:dyDescent="0.2">
      <c r="A8" s="3" t="s">
        <v>4</v>
      </c>
      <c r="B8" s="4">
        <v>45422</v>
      </c>
      <c r="C8" s="5">
        <v>45422</v>
      </c>
      <c r="D8" s="1">
        <v>39455</v>
      </c>
      <c r="E8" s="5">
        <v>45422</v>
      </c>
      <c r="F8" s="6">
        <v>26884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45422</v>
      </c>
      <c r="M8" s="1">
        <v>39455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42</v>
      </c>
    </row>
    <row r="9" spans="1:19" ht="67.5" x14ac:dyDescent="0.2">
      <c r="A9" s="3" t="s">
        <v>14</v>
      </c>
      <c r="B9" s="4">
        <v>45568</v>
      </c>
      <c r="C9" s="5">
        <v>45554</v>
      </c>
      <c r="D9" s="1">
        <v>39512</v>
      </c>
      <c r="E9" s="5">
        <v>45554</v>
      </c>
      <c r="F9" s="6">
        <v>1425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45554</v>
      </c>
      <c r="M9" s="1">
        <v>39512</v>
      </c>
      <c r="N9" s="3" t="s">
        <v>9</v>
      </c>
      <c r="O9" s="3" t="s">
        <v>15</v>
      </c>
      <c r="P9" s="3" t="s">
        <v>16</v>
      </c>
      <c r="Q9" s="3" t="s">
        <v>17</v>
      </c>
      <c r="R9" s="3" t="s">
        <v>18</v>
      </c>
      <c r="S9" s="7" t="s">
        <v>43</v>
      </c>
    </row>
    <row r="10" spans="1:19" ht="67.5" x14ac:dyDescent="0.2">
      <c r="A10" s="3" t="s">
        <v>14</v>
      </c>
      <c r="B10" s="4">
        <v>45568</v>
      </c>
      <c r="C10" s="5">
        <v>45554</v>
      </c>
      <c r="D10" s="1">
        <v>39513</v>
      </c>
      <c r="E10" s="5">
        <v>45554</v>
      </c>
      <c r="F10" s="6">
        <v>1456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45554</v>
      </c>
      <c r="M10" s="1">
        <v>39513</v>
      </c>
      <c r="N10" s="3" t="s">
        <v>9</v>
      </c>
      <c r="O10" s="3" t="s">
        <v>15</v>
      </c>
      <c r="P10" s="3" t="s">
        <v>16</v>
      </c>
      <c r="Q10" s="3" t="s">
        <v>17</v>
      </c>
      <c r="R10" s="3" t="s">
        <v>18</v>
      </c>
      <c r="S10" s="7" t="s">
        <v>44</v>
      </c>
    </row>
    <row r="11" spans="1:19" ht="67.5" x14ac:dyDescent="0.2">
      <c r="A11" s="3" t="s">
        <v>14</v>
      </c>
      <c r="B11" s="4">
        <v>45568</v>
      </c>
      <c r="C11" s="5">
        <v>45554</v>
      </c>
      <c r="D11" s="1">
        <v>39514</v>
      </c>
      <c r="E11" s="5">
        <v>45554</v>
      </c>
      <c r="F11" s="6">
        <v>9618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45554</v>
      </c>
      <c r="M11" s="1">
        <v>39514</v>
      </c>
      <c r="N11" s="3" t="s">
        <v>9</v>
      </c>
      <c r="O11" s="3" t="s">
        <v>15</v>
      </c>
      <c r="P11" s="3" t="s">
        <v>16</v>
      </c>
      <c r="Q11" s="3" t="s">
        <v>17</v>
      </c>
      <c r="R11" s="3" t="s">
        <v>18</v>
      </c>
      <c r="S11" s="7" t="s">
        <v>45</v>
      </c>
    </row>
    <row r="12" spans="1:19" ht="67.5" x14ac:dyDescent="0.2">
      <c r="A12" s="3" t="s">
        <v>14</v>
      </c>
      <c r="B12" s="4">
        <v>45568</v>
      </c>
      <c r="C12" s="5">
        <v>45554</v>
      </c>
      <c r="D12" s="1">
        <v>39515</v>
      </c>
      <c r="E12" s="5">
        <v>45554</v>
      </c>
      <c r="F12" s="6">
        <v>6290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45554</v>
      </c>
      <c r="M12" s="1">
        <v>39515</v>
      </c>
      <c r="N12" s="3" t="s">
        <v>9</v>
      </c>
      <c r="O12" s="3" t="s">
        <v>15</v>
      </c>
      <c r="P12" s="3" t="s">
        <v>16</v>
      </c>
      <c r="Q12" s="3" t="s">
        <v>17</v>
      </c>
      <c r="R12" s="3" t="s">
        <v>18</v>
      </c>
      <c r="S12" s="7" t="s">
        <v>46</v>
      </c>
    </row>
    <row r="13" spans="1:19" ht="67.5" x14ac:dyDescent="0.2">
      <c r="A13" s="3" t="s">
        <v>14</v>
      </c>
      <c r="B13" s="4">
        <v>45568</v>
      </c>
      <c r="C13" s="5">
        <v>45554</v>
      </c>
      <c r="D13" s="1">
        <v>39516</v>
      </c>
      <c r="E13" s="5">
        <v>45554</v>
      </c>
      <c r="F13" s="6">
        <v>3661</v>
      </c>
      <c r="G13" s="1">
        <v>3003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45554</v>
      </c>
      <c r="M13" s="1">
        <v>39516</v>
      </c>
      <c r="N13" s="3" t="s">
        <v>9</v>
      </c>
      <c r="O13" s="3" t="s">
        <v>15</v>
      </c>
      <c r="P13" s="3" t="s">
        <v>16</v>
      </c>
      <c r="Q13" s="3" t="s">
        <v>17</v>
      </c>
      <c r="R13" s="3" t="s">
        <v>18</v>
      </c>
      <c r="S13" s="7" t="s">
        <v>47</v>
      </c>
    </row>
    <row r="14" spans="1:19" x14ac:dyDescent="0.2">
      <c r="A14" s="3" t="s">
        <v>19</v>
      </c>
      <c r="B14" s="4">
        <v>45618</v>
      </c>
      <c r="C14" s="5">
        <v>45610</v>
      </c>
      <c r="D14" s="1">
        <v>46612</v>
      </c>
      <c r="E14" s="5">
        <v>45610</v>
      </c>
      <c r="F14" s="6">
        <v>811993</v>
      </c>
      <c r="G14" s="1">
        <v>3511</v>
      </c>
      <c r="H14" s="3" t="s">
        <v>20</v>
      </c>
      <c r="I14" s="3" t="s">
        <v>6</v>
      </c>
      <c r="J14" s="3" t="s">
        <v>7</v>
      </c>
      <c r="K14" s="3" t="s">
        <v>21</v>
      </c>
      <c r="L14" s="5">
        <v>45610</v>
      </c>
      <c r="M14" s="1">
        <v>46612</v>
      </c>
      <c r="N14" s="3" t="s">
        <v>9</v>
      </c>
      <c r="O14" s="3" t="s">
        <v>22</v>
      </c>
      <c r="P14" s="3" t="s">
        <v>23</v>
      </c>
      <c r="Q14" s="3" t="s">
        <v>24</v>
      </c>
      <c r="R14" s="3" t="s">
        <v>25</v>
      </c>
      <c r="S14" s="7" t="s">
        <v>48</v>
      </c>
    </row>
    <row r="15" spans="1:19" x14ac:dyDescent="0.2">
      <c r="A15" s="3" t="s">
        <v>26</v>
      </c>
      <c r="D15" s="2"/>
      <c r="G15" s="2"/>
      <c r="M15" s="2"/>
      <c r="R15" s="14">
        <f>SUBTOTAL(103,Errores_Emision[EMAIL])</f>
        <v>7</v>
      </c>
      <c r="S15" s="8"/>
    </row>
  </sheetData>
  <conditionalFormatting sqref="A8:S14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2024-12-26T16:04:37Z</dcterms:created>
  <dcterms:modified xsi:type="dcterms:W3CDTF">2024-12-26T16:04:39Z</dcterms:modified>
</cp:coreProperties>
</file>