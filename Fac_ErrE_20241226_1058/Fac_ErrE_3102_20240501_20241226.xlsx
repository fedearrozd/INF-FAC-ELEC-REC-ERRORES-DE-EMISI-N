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DE4912E6-BEB1-4806-9311-1E923937AAE1}" xr6:coauthVersionLast="47" xr6:coauthVersionMax="47" xr10:uidLastSave="{00000000-0000-0000-0000-000000000000}"/>
  <bookViews>
    <workbookView xWindow="2295" yWindow="2295" windowWidth="21600" windowHeight="11385" xr2:uid="{0656FBDF-18F3-43ED-A02D-3624CDF7003C}"/>
  </bookViews>
  <sheets>
    <sheet name="Error_Emision" sheetId="1" r:id="rId1"/>
  </sheets>
  <definedNames>
    <definedName name="_xlnm._FilterDatabase" localSheetId="0" hidden="1">Error_Emision!$A$7:$S$11</definedName>
    <definedName name="_xlnm.Database">Error_Emision!$A$7:$S$11</definedName>
  </definedNames>
  <calcPr calcId="191029"/>
</workbook>
</file>

<file path=xl/calcChain.xml><?xml version="1.0" encoding="utf-8"?>
<calcChain xmlns="http://schemas.openxmlformats.org/spreadsheetml/2006/main">
  <c r="R12" i="1" l="1"/>
</calcChain>
</file>

<file path=xl/sharedStrings.xml><?xml version="1.0" encoding="utf-8"?>
<sst xmlns="http://schemas.openxmlformats.org/spreadsheetml/2006/main" count="68" uniqueCount="49">
  <si>
    <t>AUD_UFAC</t>
  </si>
  <si>
    <t>CXC_NUME</t>
  </si>
  <si>
    <t>MES</t>
  </si>
  <si>
    <t>ERROR</t>
  </si>
  <si>
    <t>FAPTOLOPEZ04</t>
  </si>
  <si>
    <t>FACTURA AFILIACION AGRICULTORES</t>
  </si>
  <si>
    <t>3102</t>
  </si>
  <si>
    <t>PTO SERV.PUERTO LOPEZ</t>
  </si>
  <si>
    <t>FACTURA</t>
  </si>
  <si>
    <t>2024</t>
  </si>
  <si>
    <t>05</t>
  </si>
  <si>
    <t>1121896314</t>
  </si>
  <si>
    <t>JUAN DAVID TAMAYO LEON .</t>
  </si>
  <si>
    <t>tamayoleon13@gmail.com</t>
  </si>
  <si>
    <t>17387963</t>
  </si>
  <si>
    <t>JOSE ANTONIO RAMOS OSPINA</t>
  </si>
  <si>
    <t>.</t>
  </si>
  <si>
    <t>FAPTOLOPEZ03</t>
  </si>
  <si>
    <t>FACTURA INVENTARIO CONTADO</t>
  </si>
  <si>
    <t>07</t>
  </si>
  <si>
    <t>17388046</t>
  </si>
  <si>
    <t>WILLIAM ARIAS ROA</t>
  </si>
  <si>
    <t>10</t>
  </si>
  <si>
    <t>17302953</t>
  </si>
  <si>
    <t>ELADIO MEJIA DELGADO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</si>
  <si>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</si>
  <si>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</si>
  <si>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</si>
  <si>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</si>
  <si>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</si>
  <si>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</si>
  <si>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</si>
  <si>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</si>
  <si>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</si>
  <si>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</si>
  <si>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</si>
  <si>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</si>
  <si>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</si>
  <si>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</si>
  <si>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</si>
  <si>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</si>
  <si>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[310213053].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</si>
  <si>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[310213125].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</si>
  <si>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[310213420].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</si>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</sst>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539C8-4114-49C5-AEEC-25E241F9FF89}" name="Errores_Emision" displayName="Errores_Emision" ref="A7:S12" totalsRowCount="1" headerRowDxfId="3" dataDxfId="42" totalsRowDxfId="43" headerRowBorderDxfId="4">
  <autoFilter ref="A7:S11" xr:uid="{BCF548B3-F742-4442-B503-F29D4732B149}"/>
  <tableColumns count="19">
    <tableColumn id="1" xr3:uid="{D6E76BF0-5791-4315-B8D3-0EB120673B3C}" name="USUARIO" totalsRowLabel="Total" dataDxfId="36" totalsRowDxfId="37"/>
    <tableColumn id="2" xr3:uid="{EAB8C514-822E-4180-B1E5-4B98C4F5DE6B}" name="AUD_UFAC" dataDxfId="34" totalsRowDxfId="35"/>
    <tableColumn id="3" xr3:uid="{5A663A86-F27C-4648-927F-6E74F62C7139}" name="FECH_APLICA" dataDxfId="33" totalsRowDxfId="32"/>
    <tableColumn id="4" xr3:uid="{80151CDE-C85E-40F3-B16A-61E802F0C84D}" name="DOCUMENTO" dataDxfId="31" totalsRowDxfId="41"/>
    <tableColumn id="5" xr3:uid="{593119A2-1C42-471A-8C92-C57C835CDC5E}" name="FECH_DOCUMENTO" dataDxfId="29" totalsRowDxfId="30"/>
    <tableColumn id="6" xr3:uid="{23938B65-4C61-4CFE-ACD8-7C6C1B27EFE6}" name="FAC_VLR_TOTAL" dataDxfId="28" totalsRowDxfId="27"/>
    <tableColumn id="7" xr3:uid="{D4EA2506-897B-46FE-AD4E-E0EA33146EE3}" name="COD_TIPO_OPERAC" dataDxfId="26" totalsRowDxfId="40"/>
    <tableColumn id="8" xr3:uid="{E5A5A331-EA0E-4ACC-BBAD-E17984A86FCA}" name="TIPO_OPERAC" dataDxfId="24" totalsRowDxfId="25"/>
    <tableColumn id="9" xr3:uid="{6072CC08-2E1C-44BA-BCF2-806841F76F03}" name="COD_SUCUR" dataDxfId="22" totalsRowDxfId="23"/>
    <tableColumn id="10" xr3:uid="{D278BCFE-D122-4792-885F-BBECCF026005}" name="SUCURSAL" dataDxfId="20" totalsRowDxfId="21"/>
    <tableColumn id="11" xr3:uid="{148B08A6-E603-44EB-97F9-B39BD848DF57}" name="TIPO_DOCUMENTO" dataDxfId="18" totalsRowDxfId="19"/>
    <tableColumn id="12" xr3:uid="{6923EA92-0509-4552-88BF-F2F3F14B4A30}" name="FECH_FACTURA" dataDxfId="17" totalsRowDxfId="16"/>
    <tableColumn id="13" xr3:uid="{C99BEE2B-1E1C-4437-A1C5-5F9674A74FF3}" name="CXC_NUME" dataDxfId="15" totalsRowDxfId="39"/>
    <tableColumn id="14" xr3:uid="{568329D6-D3F1-48B7-B9E8-207407388B56}" name="AÑO" dataDxfId="13" totalsRowDxfId="14"/>
    <tableColumn id="15" xr3:uid="{DFAEBC70-B640-4006-B524-BC054FA8B73D}" name="MES" dataDxfId="11" totalsRowDxfId="12"/>
    <tableColumn id="16" xr3:uid="{878B70BE-E345-4264-AEE4-265BE9C64B43}" name="NIT" dataDxfId="9" totalsRowDxfId="10"/>
    <tableColumn id="17" xr3:uid="{25B5E7C4-0A4E-4AB0-8DBE-B8B0FD7E53AF}" name="NOMBRE" dataDxfId="7" totalsRowDxfId="8"/>
    <tableColumn id="18" xr3:uid="{E4A531C4-25C7-4800-82AE-5930F7A0A417}" name="EMAIL" totalsRowFunction="count" dataDxfId="5" totalsRowDxfId="2"/>
    <tableColumn id="19" xr3:uid="{439CEADD-CCB8-4249-8F60-AE5164BA4F38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48B3-F742-4442-B503-F29D4732B149}">
  <sheetPr>
    <tabColor rgb="FF92D050"/>
  </sheetPr>
  <dimension ref="A1:S12"/>
  <sheetViews>
    <sheetView showGridLines="0" tabSelected="1" workbookViewId="0"/>
  </sheetViews>
  <sheetFormatPr baseColWidth="10" defaultRowHeight="11.25" x14ac:dyDescent="0.2"/>
  <cols>
    <col min="1" max="1" width="15.3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24.6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28.83203125" style="3" bestFit="1" customWidth="1"/>
    <col min="18" max="18" width="22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45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46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47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48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26</v>
      </c>
      <c r="B7" s="10" t="s">
        <v>0</v>
      </c>
      <c r="C7" s="11" t="s">
        <v>27</v>
      </c>
      <c r="D7" s="12" t="s">
        <v>28</v>
      </c>
      <c r="E7" s="11" t="s">
        <v>29</v>
      </c>
      <c r="F7" s="13" t="s">
        <v>30</v>
      </c>
      <c r="G7" s="12" t="s">
        <v>31</v>
      </c>
      <c r="H7" s="9" t="s">
        <v>32</v>
      </c>
      <c r="I7" s="9" t="s">
        <v>33</v>
      </c>
      <c r="J7" s="9" t="s">
        <v>34</v>
      </c>
      <c r="K7" s="9" t="s">
        <v>35</v>
      </c>
      <c r="L7" s="11" t="s">
        <v>36</v>
      </c>
      <c r="M7" s="12" t="s">
        <v>1</v>
      </c>
      <c r="N7" s="9" t="s">
        <v>37</v>
      </c>
      <c r="O7" s="9" t="s">
        <v>2</v>
      </c>
      <c r="P7" s="9" t="s">
        <v>38</v>
      </c>
      <c r="Q7" s="9" t="s">
        <v>39</v>
      </c>
      <c r="R7" s="9" t="s">
        <v>40</v>
      </c>
      <c r="S7" s="12" t="s">
        <v>3</v>
      </c>
    </row>
    <row r="8" spans="1:19" ht="56.25" x14ac:dyDescent="0.2">
      <c r="A8" s="3" t="s">
        <v>4</v>
      </c>
      <c r="B8" s="4">
        <v>45441</v>
      </c>
      <c r="C8" s="5">
        <v>45421</v>
      </c>
      <c r="D8" s="1">
        <v>13053</v>
      </c>
      <c r="E8" s="5">
        <v>45421</v>
      </c>
      <c r="F8" s="6">
        <v>3000</v>
      </c>
      <c r="G8" s="1">
        <v>3014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45421</v>
      </c>
      <c r="M8" s="1">
        <v>13053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41</v>
      </c>
    </row>
    <row r="9" spans="1:19" ht="56.25" x14ac:dyDescent="0.2">
      <c r="A9" s="3" t="s">
        <v>4</v>
      </c>
      <c r="B9" s="4">
        <v>45441</v>
      </c>
      <c r="C9" s="5">
        <v>45432</v>
      </c>
      <c r="D9" s="1">
        <v>13125</v>
      </c>
      <c r="E9" s="5">
        <v>45432</v>
      </c>
      <c r="F9" s="6">
        <v>20000</v>
      </c>
      <c r="G9" s="1">
        <v>3014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45432</v>
      </c>
      <c r="M9" s="1">
        <v>13125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42</v>
      </c>
    </row>
    <row r="10" spans="1:19" ht="56.25" x14ac:dyDescent="0.2">
      <c r="A10" s="3" t="s">
        <v>17</v>
      </c>
      <c r="B10" s="4">
        <v>45506</v>
      </c>
      <c r="C10" s="5">
        <v>45484</v>
      </c>
      <c r="D10" s="1">
        <v>13420</v>
      </c>
      <c r="E10" s="5">
        <v>45484</v>
      </c>
      <c r="F10" s="6">
        <v>2518127</v>
      </c>
      <c r="G10" s="1">
        <v>3550</v>
      </c>
      <c r="H10" s="3" t="s">
        <v>18</v>
      </c>
      <c r="I10" s="3" t="s">
        <v>6</v>
      </c>
      <c r="J10" s="3" t="s">
        <v>7</v>
      </c>
      <c r="K10" s="3" t="s">
        <v>8</v>
      </c>
      <c r="L10" s="5">
        <v>45484</v>
      </c>
      <c r="M10" s="1">
        <v>13420</v>
      </c>
      <c r="N10" s="3" t="s">
        <v>9</v>
      </c>
      <c r="O10" s="3" t="s">
        <v>19</v>
      </c>
      <c r="P10" s="3" t="s">
        <v>20</v>
      </c>
      <c r="Q10" s="3" t="s">
        <v>21</v>
      </c>
      <c r="R10" s="3" t="s">
        <v>16</v>
      </c>
      <c r="S10" s="7" t="s">
        <v>43</v>
      </c>
    </row>
    <row r="11" spans="1:19" x14ac:dyDescent="0.2">
      <c r="A11" s="3" t="s">
        <v>4</v>
      </c>
      <c r="B11" s="4">
        <v>45580</v>
      </c>
      <c r="C11" s="5">
        <v>45580</v>
      </c>
      <c r="D11" s="1">
        <v>13961</v>
      </c>
      <c r="E11" s="5">
        <v>45580</v>
      </c>
      <c r="F11" s="6">
        <v>332293</v>
      </c>
      <c r="G11" s="1">
        <v>3550</v>
      </c>
      <c r="H11" s="3" t="s">
        <v>18</v>
      </c>
      <c r="I11" s="3" t="s">
        <v>6</v>
      </c>
      <c r="J11" s="3" t="s">
        <v>7</v>
      </c>
      <c r="K11" s="3" t="s">
        <v>8</v>
      </c>
      <c r="L11" s="5">
        <v>45580</v>
      </c>
      <c r="M11" s="1">
        <v>13961</v>
      </c>
      <c r="N11" s="3" t="s">
        <v>9</v>
      </c>
      <c r="O11" s="3" t="s">
        <v>22</v>
      </c>
      <c r="P11" s="3" t="s">
        <v>23</v>
      </c>
      <c r="Q11" s="3" t="s">
        <v>24</v>
      </c>
      <c r="R11" s="3" t="s">
        <v>16</v>
      </c>
      <c r="S11" s="7" t="s">
        <v>44</v>
      </c>
    </row>
    <row r="12" spans="1:19" x14ac:dyDescent="0.2">
      <c r="A12" s="3" t="s">
        <v>25</v>
      </c>
      <c r="D12" s="2"/>
      <c r="G12" s="2"/>
      <c r="M12" s="2"/>
      <c r="R12" s="14">
        <f>SUBTOTAL(103,Errores_Emision[EMAIL])</f>
        <v>4</v>
      </c>
      <c r="S12" s="8"/>
    </row>
  </sheetData>
  <conditionalFormatting sqref="A8:S11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2024-12-26T16:02:13Z</dcterms:created>
  <dcterms:modified xsi:type="dcterms:W3CDTF">2024-12-26T16:02:14Z</dcterms:modified>
</cp:coreProperties>
</file>