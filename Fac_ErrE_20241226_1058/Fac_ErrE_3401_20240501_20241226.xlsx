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77597144-D5A5-403F-89F8-77EE648380C9}" xr6:coauthVersionLast="47" xr6:coauthVersionMax="47" xr10:uidLastSave="{00000000-0000-0000-0000-000000000000}"/>
  <bookViews>
    <workbookView xWindow="2295" yWindow="2295" windowWidth="21600" windowHeight="11385" xr2:uid="{08A4ADA3-8DAF-4EB6-8B9B-D4566C5A1023}"/>
  </bookViews>
  <sheets>
    <sheet name="Error_Emision" sheetId="1" r:id="rId1"/>
  </sheets>
  <definedNames>
    <definedName name="_xlnm._FilterDatabase" localSheetId="0" hidden="1">Error_Emision!$A$7:$S$10</definedName>
    <definedName name="_xlnm.Database">Error_Emision!$A$7:$S$10</definedName>
  </definedNames>
  <calcPr calcId="191029"/>
</workbook>
</file>

<file path=xl/calcChain.xml><?xml version="1.0" encoding="utf-8"?>
<calcChain xmlns="http://schemas.openxmlformats.org/spreadsheetml/2006/main">
  <c r="R11" i="1" l="1"/>
</calcChain>
</file>

<file path=xl/sharedStrings.xml><?xml version="1.0" encoding="utf-8"?>
<sst xmlns="http://schemas.openxmlformats.org/spreadsheetml/2006/main" count="57" uniqueCount="47">
  <si>
    <t>AUD_UFAC</t>
  </si>
  <si>
    <t>CXC_NUME</t>
  </si>
  <si>
    <t>MES</t>
  </si>
  <si>
    <t>ERROR</t>
  </si>
  <si>
    <t>FAGRANADA02</t>
  </si>
  <si>
    <t>FACTURA INVENTARIO CONTADO</t>
  </si>
  <si>
    <t>3401</t>
  </si>
  <si>
    <t>GRANADA</t>
  </si>
  <si>
    <t>FACTURA</t>
  </si>
  <si>
    <t>2024</t>
  </si>
  <si>
    <t>10</t>
  </si>
  <si>
    <t>86008407</t>
  </si>
  <si>
    <t>LEONARDO BUITRAGO MUÐOZ</t>
  </si>
  <si>
    <t>leonardobuitrago531@gmail.com</t>
  </si>
  <si>
    <t>FACAR002</t>
  </si>
  <si>
    <t>NOTA DEBITO</t>
  </si>
  <si>
    <t>NOTADEB</t>
  </si>
  <si>
    <t>05</t>
  </si>
  <si>
    <t>901286541</t>
  </si>
  <si>
    <t>AGRO-RIO H&amp;M SAS ZOMAC .</t>
  </si>
  <si>
    <t>agroriohym@gmail.com</t>
  </si>
  <si>
    <t>7818649</t>
  </si>
  <si>
    <t>MANUEL ANTONIO OVIEDO</t>
  </si>
  <si>
    <t>manolo-antonio50@hotmail.com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</si>
  <si>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</si>
  <si>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</si>
  <si>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</si>
  <si>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</si>
  <si>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</si>
  <si>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</si>
  <si>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</si>
  <si>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</si>
  <si>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</si>
  <si>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</si>
  <si>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</si>
  <si>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</si>
  <si>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</si>
  <si>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</si>
  <si>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</si>
  <si>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</si>
  <si>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[340151735].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</si>
  <si>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[24G340179357].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</si>
  <si>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[24G340179358]. Descripción: [Validación contiene errores en campos mandatorios.] - Errores: [Regla: DAD09e, Rechazo: La fecha de generación de la ND es diferente a la fecha de firma de la ND,Regla: DAE02, Notificación: No fue informado el inicio del periodo de facturacion que modifica esta nota debito,Regla: DAE04, Notificación: No fue informado el fin del periodo de facturacion que modifica esta nota debito,Regla: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</si>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</sst>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035141-086E-4531-8F38-77F024A719CD}" name="Errores_Emision" displayName="Errores_Emision" ref="A7:S11" totalsRowCount="1" headerRowDxfId="3" dataDxfId="42" totalsRowDxfId="43" headerRowBorderDxfId="4">
  <autoFilter ref="A7:S10" xr:uid="{4352A1DC-AAA1-4634-9D39-26406701C0A6}"/>
  <tableColumns count="19">
    <tableColumn id="1" xr3:uid="{089F1F3C-C0FA-4AC6-8FB8-C4035C707092}" name="USUARIO" totalsRowLabel="Total" dataDxfId="36" totalsRowDxfId="37"/>
    <tableColumn id="2" xr3:uid="{451536AA-D99D-492A-A73F-8C3D87B7DB75}" name="AUD_UFAC" dataDxfId="34" totalsRowDxfId="35"/>
    <tableColumn id="3" xr3:uid="{463527B3-E508-4515-BFD9-E59352518FA1}" name="FECH_APLICA" dataDxfId="33" totalsRowDxfId="32"/>
    <tableColumn id="4" xr3:uid="{6759765D-7760-473F-BDD1-C97083E87EF9}" name="DOCUMENTO" dataDxfId="31" totalsRowDxfId="41"/>
    <tableColumn id="5" xr3:uid="{6B86484F-752B-425F-8A8E-18D861790896}" name="FECH_DOCUMENTO" dataDxfId="29" totalsRowDxfId="30"/>
    <tableColumn id="6" xr3:uid="{BB022729-E693-42A2-81D3-1F67F9729B00}" name="FAC_VLR_TOTAL" dataDxfId="28" totalsRowDxfId="27"/>
    <tableColumn id="7" xr3:uid="{A517B6F6-F51E-4CEB-ABF3-88A4F7F523C7}" name="COD_TIPO_OPERAC" dataDxfId="26" totalsRowDxfId="40"/>
    <tableColumn id="8" xr3:uid="{D6D43E0B-0816-419D-86B7-DBA58130462D}" name="TIPO_OPERAC" dataDxfId="24" totalsRowDxfId="25"/>
    <tableColumn id="9" xr3:uid="{A72CAD21-B465-4C40-B45C-B7305B55FDA1}" name="COD_SUCUR" dataDxfId="22" totalsRowDxfId="23"/>
    <tableColumn id="10" xr3:uid="{FA1C70F0-13E1-4322-8A8F-08A289305835}" name="SUCURSAL" dataDxfId="20" totalsRowDxfId="21"/>
    <tableColumn id="11" xr3:uid="{63B09955-89D6-4746-B07C-A212DDA5D84C}" name="TIPO_DOCUMENTO" dataDxfId="18" totalsRowDxfId="19"/>
    <tableColumn id="12" xr3:uid="{6DF8C576-553C-4127-835E-65D27CE8457D}" name="FECH_FACTURA" dataDxfId="17" totalsRowDxfId="16"/>
    <tableColumn id="13" xr3:uid="{5EFE9FA1-35CF-472C-B9DC-B50E1B9E4AC4}" name="CXC_NUME" dataDxfId="15" totalsRowDxfId="39"/>
    <tableColumn id="14" xr3:uid="{AA0AF604-0CF1-4929-A772-8A96F2135ED2}" name="AÑO" dataDxfId="13" totalsRowDxfId="14"/>
    <tableColumn id="15" xr3:uid="{76A85B3E-4EA5-478A-98AF-4F215D98F618}" name="MES" dataDxfId="11" totalsRowDxfId="12"/>
    <tableColumn id="16" xr3:uid="{3106F700-5086-45E8-A2FA-E3DE4690EAC3}" name="NIT" dataDxfId="9" totalsRowDxfId="10"/>
    <tableColumn id="17" xr3:uid="{971B1B93-E548-400F-A16F-491F6FE320AE}" name="NOMBRE" dataDxfId="7" totalsRowDxfId="8"/>
    <tableColumn id="18" xr3:uid="{A010987A-2B46-493C-A7E7-CC384A0CA795}" name="EMAIL" totalsRowFunction="count" dataDxfId="5" totalsRowDxfId="2"/>
    <tableColumn id="19" xr3:uid="{0531F60D-9CEF-4B3C-A05C-5D9AFCE36C10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A1DC-AAA1-4634-9D39-26406701C0A6}">
  <sheetPr>
    <tabColor rgb="FF92D050"/>
  </sheetPr>
  <dimension ref="A1:S11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29.1640625" style="3" bestFit="1" customWidth="1"/>
    <col min="18" max="18" width="27.6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43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44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45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46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25</v>
      </c>
      <c r="B7" s="10" t="s">
        <v>0</v>
      </c>
      <c r="C7" s="11" t="s">
        <v>26</v>
      </c>
      <c r="D7" s="12" t="s">
        <v>27</v>
      </c>
      <c r="E7" s="11" t="s">
        <v>28</v>
      </c>
      <c r="F7" s="13" t="s">
        <v>29</v>
      </c>
      <c r="G7" s="12" t="s">
        <v>30</v>
      </c>
      <c r="H7" s="9" t="s">
        <v>31</v>
      </c>
      <c r="I7" s="9" t="s">
        <v>32</v>
      </c>
      <c r="J7" s="9" t="s">
        <v>33</v>
      </c>
      <c r="K7" s="9" t="s">
        <v>34</v>
      </c>
      <c r="L7" s="11" t="s">
        <v>35</v>
      </c>
      <c r="M7" s="12" t="s">
        <v>1</v>
      </c>
      <c r="N7" s="9" t="s">
        <v>36</v>
      </c>
      <c r="O7" s="9" t="s">
        <v>2</v>
      </c>
      <c r="P7" s="9" t="s">
        <v>37</v>
      </c>
      <c r="Q7" s="9" t="s">
        <v>38</v>
      </c>
      <c r="R7" s="9" t="s">
        <v>39</v>
      </c>
      <c r="S7" s="12" t="s">
        <v>3</v>
      </c>
    </row>
    <row r="8" spans="1:19" ht="56.25" x14ac:dyDescent="0.2">
      <c r="A8" s="3" t="s">
        <v>4</v>
      </c>
      <c r="B8" s="4">
        <v>45610</v>
      </c>
      <c r="C8" s="5">
        <v>45584</v>
      </c>
      <c r="D8" s="1">
        <v>51735</v>
      </c>
      <c r="E8" s="5">
        <v>45584</v>
      </c>
      <c r="F8" s="6">
        <v>1464581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45584</v>
      </c>
      <c r="M8" s="1">
        <v>51735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40</v>
      </c>
    </row>
    <row r="9" spans="1:19" ht="78.75" x14ac:dyDescent="0.2">
      <c r="A9" s="3" t="s">
        <v>14</v>
      </c>
      <c r="B9" s="4">
        <v>45418</v>
      </c>
      <c r="C9" s="5">
        <v>45415</v>
      </c>
      <c r="D9" s="1">
        <v>79357</v>
      </c>
      <c r="E9" s="5">
        <v>45415</v>
      </c>
      <c r="F9" s="6">
        <v>1</v>
      </c>
      <c r="G9" s="1">
        <v>3002</v>
      </c>
      <c r="H9" s="3" t="s">
        <v>15</v>
      </c>
      <c r="I9" s="3" t="s">
        <v>6</v>
      </c>
      <c r="J9" s="3" t="s">
        <v>7</v>
      </c>
      <c r="K9" s="3" t="s">
        <v>16</v>
      </c>
      <c r="L9" s="5">
        <v>45415</v>
      </c>
      <c r="M9" s="1">
        <v>79357</v>
      </c>
      <c r="N9" s="3" t="s">
        <v>9</v>
      </c>
      <c r="O9" s="3" t="s">
        <v>17</v>
      </c>
      <c r="P9" s="3" t="s">
        <v>18</v>
      </c>
      <c r="Q9" s="3" t="s">
        <v>19</v>
      </c>
      <c r="R9" s="3" t="s">
        <v>20</v>
      </c>
      <c r="S9" s="7" t="s">
        <v>41</v>
      </c>
    </row>
    <row r="10" spans="1:19" ht="78.75" x14ac:dyDescent="0.2">
      <c r="A10" s="3" t="s">
        <v>14</v>
      </c>
      <c r="B10" s="4">
        <v>45441</v>
      </c>
      <c r="C10" s="5">
        <v>45419</v>
      </c>
      <c r="D10" s="1">
        <v>79358</v>
      </c>
      <c r="E10" s="5">
        <v>45419</v>
      </c>
      <c r="F10" s="6">
        <v>64</v>
      </c>
      <c r="G10" s="1">
        <v>3002</v>
      </c>
      <c r="H10" s="3" t="s">
        <v>15</v>
      </c>
      <c r="I10" s="3" t="s">
        <v>6</v>
      </c>
      <c r="J10" s="3" t="s">
        <v>7</v>
      </c>
      <c r="K10" s="3" t="s">
        <v>16</v>
      </c>
      <c r="L10" s="5">
        <v>45419</v>
      </c>
      <c r="M10" s="1">
        <v>79358</v>
      </c>
      <c r="N10" s="3" t="s">
        <v>9</v>
      </c>
      <c r="O10" s="3" t="s">
        <v>17</v>
      </c>
      <c r="P10" s="3" t="s">
        <v>21</v>
      </c>
      <c r="Q10" s="3" t="s">
        <v>22</v>
      </c>
      <c r="R10" s="3" t="s">
        <v>23</v>
      </c>
      <c r="S10" s="7" t="s">
        <v>42</v>
      </c>
    </row>
    <row r="11" spans="1:19" x14ac:dyDescent="0.2">
      <c r="A11" s="3" t="s">
        <v>24</v>
      </c>
      <c r="D11" s="2"/>
      <c r="G11" s="2"/>
      <c r="M11" s="2"/>
      <c r="R11" s="14">
        <f>SUBTOTAL(103,Errores_Emision[EMAIL])</f>
        <v>3</v>
      </c>
      <c r="S11" s="8"/>
    </row>
  </sheetData>
  <conditionalFormatting sqref="A8:S10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2024-12-26T16:03:14Z</dcterms:created>
  <dcterms:modified xsi:type="dcterms:W3CDTF">2024-12-26T16:03:16Z</dcterms:modified>
</cp:coreProperties>
</file>