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0DBA7EA1-D89E-424B-9A82-563567875EA8}" xr6:coauthVersionLast="47" xr6:coauthVersionMax="47" xr10:uidLastSave="{00000000-0000-0000-0000-000000000000}"/>
  <bookViews>
    <workbookView xWindow="2295" yWindow="2295" windowWidth="21600" windowHeight="11385" xr2:uid="{5B30DA26-3EF2-436E-912D-061D7A69BE2B}"/>
  </bookViews>
  <sheets>
    <sheet name="Error_Emision" sheetId="1" r:id="rId1"/>
  </sheets>
  <definedNames>
    <definedName name="_xlnm._FilterDatabase" localSheetId="0" hidden="1">Error_Emision!$A$7:$S$15</definedName>
    <definedName name="_xlnm.Database">Error_Emision!$A$7:$S$15</definedName>
  </definedNames>
  <calcPr calcId="191029"/>
</workbook>
</file>

<file path=xl/calcChain.xml><?xml version="1.0" encoding="utf-8"?>
<calcChain xmlns="http://schemas.openxmlformats.org/spreadsheetml/2006/main">
  <c r="R16" i="1" l="1"/>
</calcChain>
</file>

<file path=xl/sharedStrings.xml><?xml version="1.0" encoding="utf-8"?>
<sst xmlns="http://schemas.openxmlformats.org/spreadsheetml/2006/main" count="112" uniqueCount="65">
  <si>
    <t>AUD_UFAC</t>
  </si>
  <si>
    <t>CXC_NUME</t>
  </si>
  <si>
    <t>MES</t>
  </si>
  <si>
    <t>ERROR</t>
  </si>
  <si>
    <t>FACON023</t>
  </si>
  <si>
    <t>NOTA CREDITO</t>
  </si>
  <si>
    <t>4202</t>
  </si>
  <si>
    <t>PTO SERV.FONSECA</t>
  </si>
  <si>
    <t>NOTACRE</t>
  </si>
  <si>
    <t>2024</t>
  </si>
  <si>
    <t>05</t>
  </si>
  <si>
    <t>1120751223</t>
  </si>
  <si>
    <t>ERICK DANIEL GARCIA RODRIGUEZ</t>
  </si>
  <si>
    <t>erickdgr1996@gmail.com</t>
  </si>
  <si>
    <t>FAFONSECA07</t>
  </si>
  <si>
    <t>FACTURA AFILIACION AGRICULTORES</t>
  </si>
  <si>
    <t>FACTURA</t>
  </si>
  <si>
    <t>1120741850</t>
  </si>
  <si>
    <t>JAIDER JOSE PARODI ALARCON</t>
  </si>
  <si>
    <t>jaiderpaalar@gmail.com</t>
  </si>
  <si>
    <t>07</t>
  </si>
  <si>
    <t>17954053</t>
  </si>
  <si>
    <t>WILFRIDO ENRIQUE PITRE  MENDOZA</t>
  </si>
  <si>
    <t>.</t>
  </si>
  <si>
    <t>08</t>
  </si>
  <si>
    <t>1120747589</t>
  </si>
  <si>
    <t>ELVER LUIS GARCIA DAZA</t>
  </si>
  <si>
    <t>17952567</t>
  </si>
  <si>
    <t>OSMAN PINTO VIDAL</t>
  </si>
  <si>
    <t>FACTURA INVENTARIO CONTADO</t>
  </si>
  <si>
    <t>09</t>
  </si>
  <si>
    <t>5688571</t>
  </si>
  <si>
    <t>JOSE JULIAN BRITO GOMEZ</t>
  </si>
  <si>
    <t>10</t>
  </si>
  <si>
    <t>17950444</t>
  </si>
  <si>
    <t>JOSE RAMON MOLINA PELAEZ .</t>
  </si>
  <si>
    <t>asorancheria08@gmail.com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</si>
  <si>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</si>
  <si>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</si>
  <si>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</si>
  <si>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</si>
  <si>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</si>
  <si>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</si>
  <si>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</si>
  <si>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</si>
  <si>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</si>
  <si>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</si>
  <si>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</si>
  <si>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</si>
  <si>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</si>
  <si>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</si>
  <si>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</si>
  <si>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</si>
  <si>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[24P420214439]. Descripción: [Validación contiene errores en campos mandatorios.] - Errores: [Regla: CBG05, Rechazo: Algoritmo referenciado no existe,Regla: CBG03, Rechazo: ID de NC de referencia no relacionada,Regla: CBG06, Rechazo: Fecha NC referenciada anterior a fecha de la factura,Regla: CBG04, Rechazo: CUDE de NC referenciada no existe,Regla: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</si>
  <si>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[420217747].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</si>
  <si>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[420217885].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</si>
  <si>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[420217957]. Descripción: [Validación contiene errores en campos mandatorios.] - Errores: [Regla: FAD05b, Rechazo: Número de factura es inferior al número inicial del rango de numeración autorizado,Regla: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</si>
  <si>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[420217963]. Descripción: [Validación contiene errores en campos mandatorios.] - Errores: [Regla: FAD05b, Rechazo: Número de factura es inferior al número inicial del rango de numeración autorizado,Regla: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</si>
  <si>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[420217964]. Descripción: [Validación contiene errores en campos mandatorios.] - Errores: [Regla: FAD05b, Rechazo: Número de factura es inferior al número inicial del rango de numeración autorizado,Regla: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</si>
  <si>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[420218018].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</si>
  <si>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[24P420214495].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</si>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</sst>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0864E-3824-43D4-8AA0-9656AC25EB54}" name="Errores_Emision" displayName="Errores_Emision" ref="A7:S16" totalsRowCount="1" headerRowDxfId="3" dataDxfId="42" totalsRowDxfId="43" headerRowBorderDxfId="4">
  <autoFilter ref="A7:S15" xr:uid="{B803CBD2-82C7-4866-8750-9A66EDBFF977}"/>
  <tableColumns count="19">
    <tableColumn id="1" xr3:uid="{B6DA2282-A67F-4522-B337-5B1C4F580882}" name="USUARIO" totalsRowLabel="Total" dataDxfId="36" totalsRowDxfId="37"/>
    <tableColumn id="2" xr3:uid="{63E72D38-522D-4471-9648-5F0DE10D01BE}" name="AUD_UFAC" dataDxfId="34" totalsRowDxfId="35"/>
    <tableColumn id="3" xr3:uid="{E8B03313-FF9A-44BD-8F68-6C47B1BF67F0}" name="FECH_APLICA" dataDxfId="33" totalsRowDxfId="32"/>
    <tableColumn id="4" xr3:uid="{6728EE35-1D16-4001-AF95-777CF13585F9}" name="DOCUMENTO" dataDxfId="31" totalsRowDxfId="41"/>
    <tableColumn id="5" xr3:uid="{45F3C914-BBAD-4C41-AB29-8615ED7DCEF2}" name="FECH_DOCUMENTO" dataDxfId="29" totalsRowDxfId="30"/>
    <tableColumn id="6" xr3:uid="{D9FC16BF-D8CB-4505-B9D8-48024107DFDA}" name="FAC_VLR_TOTAL" dataDxfId="28" totalsRowDxfId="27"/>
    <tableColumn id="7" xr3:uid="{EDFEE070-52CB-47C8-A0B2-8233C8027BF3}" name="COD_TIPO_OPERAC" dataDxfId="26" totalsRowDxfId="40"/>
    <tableColumn id="8" xr3:uid="{727E745C-1CF2-4B67-ACB2-8D9794B2979C}" name="TIPO_OPERAC" dataDxfId="24" totalsRowDxfId="25"/>
    <tableColumn id="9" xr3:uid="{7F209C13-9AA6-4BAB-B99C-82B1283752E4}" name="COD_SUCUR" dataDxfId="22" totalsRowDxfId="23"/>
    <tableColumn id="10" xr3:uid="{6914F8E9-2787-4FF1-98F2-77874116FB13}" name="SUCURSAL" dataDxfId="20" totalsRowDxfId="21"/>
    <tableColumn id="11" xr3:uid="{01CA9DCA-E09B-4840-A34E-E51AEFDC8822}" name="TIPO_DOCUMENTO" dataDxfId="18" totalsRowDxfId="19"/>
    <tableColumn id="12" xr3:uid="{E1BF61B2-34CC-470C-89CE-B119E8EE0AA5}" name="FECH_FACTURA" dataDxfId="17" totalsRowDxfId="16"/>
    <tableColumn id="13" xr3:uid="{343D3504-13D0-4323-BDAA-2BBCC5F50377}" name="CXC_NUME" dataDxfId="15" totalsRowDxfId="39"/>
    <tableColumn id="14" xr3:uid="{2CCB58A3-36DE-4CBC-9D77-EF58D71A03B5}" name="AÑO" dataDxfId="13" totalsRowDxfId="14"/>
    <tableColumn id="15" xr3:uid="{45FFE284-23BE-4866-A410-699709CECA6C}" name="MES" dataDxfId="11" totalsRowDxfId="12"/>
    <tableColumn id="16" xr3:uid="{1F5F767D-0F10-4532-9674-F6C3A991825A}" name="NIT" dataDxfId="9" totalsRowDxfId="10"/>
    <tableColumn id="17" xr3:uid="{8B65A0E2-1D0B-4EB9-A446-CF33078D257F}" name="NOMBRE" dataDxfId="7" totalsRowDxfId="8"/>
    <tableColumn id="18" xr3:uid="{DECEC85A-156F-4223-AC18-A83CCF843CCF}" name="EMAIL" totalsRowFunction="count" dataDxfId="5" totalsRowDxfId="2"/>
    <tableColumn id="19" xr3:uid="{5B71D3A7-7370-44B4-82C6-BBE108C60423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BD2-82C7-4866-8750-9A66EDBFF977}">
  <sheetPr>
    <tabColor rgb="FF92D050"/>
  </sheetPr>
  <dimension ref="A1:S16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8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6" style="3" bestFit="1" customWidth="1"/>
    <col min="18" max="18" width="22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61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62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63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64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38</v>
      </c>
      <c r="B7" s="10" t="s">
        <v>0</v>
      </c>
      <c r="C7" s="11" t="s">
        <v>39</v>
      </c>
      <c r="D7" s="12" t="s">
        <v>40</v>
      </c>
      <c r="E7" s="11" t="s">
        <v>41</v>
      </c>
      <c r="F7" s="13" t="s">
        <v>42</v>
      </c>
      <c r="G7" s="12" t="s">
        <v>43</v>
      </c>
      <c r="H7" s="9" t="s">
        <v>44</v>
      </c>
      <c r="I7" s="9" t="s">
        <v>45</v>
      </c>
      <c r="J7" s="9" t="s">
        <v>46</v>
      </c>
      <c r="K7" s="9" t="s">
        <v>47</v>
      </c>
      <c r="L7" s="11" t="s">
        <v>48</v>
      </c>
      <c r="M7" s="12" t="s">
        <v>1</v>
      </c>
      <c r="N7" s="9" t="s">
        <v>49</v>
      </c>
      <c r="O7" s="9" t="s">
        <v>2</v>
      </c>
      <c r="P7" s="9" t="s">
        <v>50</v>
      </c>
      <c r="Q7" s="9" t="s">
        <v>51</v>
      </c>
      <c r="R7" s="9" t="s">
        <v>52</v>
      </c>
      <c r="S7" s="12" t="s">
        <v>3</v>
      </c>
    </row>
    <row r="8" spans="1:19" ht="90" x14ac:dyDescent="0.2">
      <c r="A8" s="3" t="s">
        <v>4</v>
      </c>
      <c r="B8" s="4">
        <v>45419</v>
      </c>
      <c r="C8" s="5">
        <v>45441</v>
      </c>
      <c r="D8" s="1">
        <v>14439</v>
      </c>
      <c r="E8" s="5">
        <v>45441</v>
      </c>
      <c r="F8" s="6">
        <v>70507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45441</v>
      </c>
      <c r="M8" s="1">
        <v>14439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53</v>
      </c>
    </row>
    <row r="9" spans="1:19" ht="56.25" x14ac:dyDescent="0.2">
      <c r="A9" s="3" t="s">
        <v>14</v>
      </c>
      <c r="B9" s="4">
        <v>45441</v>
      </c>
      <c r="C9" s="5">
        <v>45419</v>
      </c>
      <c r="D9" s="1">
        <v>17747</v>
      </c>
      <c r="E9" s="5">
        <v>45419</v>
      </c>
      <c r="F9" s="6">
        <v>10000</v>
      </c>
      <c r="G9" s="1">
        <v>3014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45419</v>
      </c>
      <c r="M9" s="1">
        <v>17747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54</v>
      </c>
    </row>
    <row r="10" spans="1:19" ht="56.25" x14ac:dyDescent="0.2">
      <c r="A10" s="3" t="s">
        <v>14</v>
      </c>
      <c r="B10" s="4">
        <v>45506</v>
      </c>
      <c r="C10" s="5">
        <v>45484</v>
      </c>
      <c r="D10" s="1">
        <v>17885</v>
      </c>
      <c r="E10" s="5">
        <v>45484</v>
      </c>
      <c r="F10" s="6">
        <v>4000</v>
      </c>
      <c r="G10" s="1">
        <v>3014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45484</v>
      </c>
      <c r="M10" s="1">
        <v>17885</v>
      </c>
      <c r="N10" s="3" t="s">
        <v>9</v>
      </c>
      <c r="O10" s="3" t="s">
        <v>20</v>
      </c>
      <c r="P10" s="3" t="s">
        <v>21</v>
      </c>
      <c r="Q10" s="3" t="s">
        <v>22</v>
      </c>
      <c r="R10" s="3" t="s">
        <v>23</v>
      </c>
      <c r="S10" s="7" t="s">
        <v>55</v>
      </c>
    </row>
    <row r="11" spans="1:19" ht="67.5" x14ac:dyDescent="0.2">
      <c r="A11" s="3" t="s">
        <v>14</v>
      </c>
      <c r="B11" s="4">
        <v>45568</v>
      </c>
      <c r="C11" s="5">
        <v>45506</v>
      </c>
      <c r="D11" s="1">
        <v>17957</v>
      </c>
      <c r="E11" s="5">
        <v>45506</v>
      </c>
      <c r="F11" s="6">
        <v>10000</v>
      </c>
      <c r="G11" s="1">
        <v>3014</v>
      </c>
      <c r="H11" s="3" t="s">
        <v>15</v>
      </c>
      <c r="I11" s="3" t="s">
        <v>6</v>
      </c>
      <c r="J11" s="3" t="s">
        <v>7</v>
      </c>
      <c r="K11" s="3" t="s">
        <v>16</v>
      </c>
      <c r="L11" s="5">
        <v>45506</v>
      </c>
      <c r="M11" s="1">
        <v>17957</v>
      </c>
      <c r="N11" s="3" t="s">
        <v>9</v>
      </c>
      <c r="O11" s="3" t="s">
        <v>24</v>
      </c>
      <c r="P11" s="3" t="s">
        <v>25</v>
      </c>
      <c r="Q11" s="3" t="s">
        <v>26</v>
      </c>
      <c r="R11" s="3" t="s">
        <v>23</v>
      </c>
      <c r="S11" s="7" t="s">
        <v>56</v>
      </c>
    </row>
    <row r="12" spans="1:19" ht="67.5" x14ac:dyDescent="0.2">
      <c r="A12" s="3" t="s">
        <v>14</v>
      </c>
      <c r="B12" s="4">
        <v>45568</v>
      </c>
      <c r="C12" s="5">
        <v>45513</v>
      </c>
      <c r="D12" s="1">
        <v>17963</v>
      </c>
      <c r="E12" s="5">
        <v>45513</v>
      </c>
      <c r="F12" s="6">
        <v>2000</v>
      </c>
      <c r="G12" s="1">
        <v>3014</v>
      </c>
      <c r="H12" s="3" t="s">
        <v>15</v>
      </c>
      <c r="I12" s="3" t="s">
        <v>6</v>
      </c>
      <c r="J12" s="3" t="s">
        <v>7</v>
      </c>
      <c r="K12" s="3" t="s">
        <v>16</v>
      </c>
      <c r="L12" s="5">
        <v>45513</v>
      </c>
      <c r="M12" s="1">
        <v>17963</v>
      </c>
      <c r="N12" s="3" t="s">
        <v>9</v>
      </c>
      <c r="O12" s="3" t="s">
        <v>24</v>
      </c>
      <c r="P12" s="3" t="s">
        <v>27</v>
      </c>
      <c r="Q12" s="3" t="s">
        <v>28</v>
      </c>
      <c r="R12" s="3" t="s">
        <v>23</v>
      </c>
      <c r="S12" s="7" t="s">
        <v>57</v>
      </c>
    </row>
    <row r="13" spans="1:19" ht="67.5" x14ac:dyDescent="0.2">
      <c r="A13" s="3" t="s">
        <v>14</v>
      </c>
      <c r="B13" s="4">
        <v>45568</v>
      </c>
      <c r="C13" s="5">
        <v>45513</v>
      </c>
      <c r="D13" s="1">
        <v>17964</v>
      </c>
      <c r="E13" s="5">
        <v>45513</v>
      </c>
      <c r="F13" s="6">
        <v>85017</v>
      </c>
      <c r="G13" s="1">
        <v>3550</v>
      </c>
      <c r="H13" s="3" t="s">
        <v>29</v>
      </c>
      <c r="I13" s="3" t="s">
        <v>6</v>
      </c>
      <c r="J13" s="3" t="s">
        <v>7</v>
      </c>
      <c r="K13" s="3" t="s">
        <v>16</v>
      </c>
      <c r="L13" s="5">
        <v>45513</v>
      </c>
      <c r="M13" s="1">
        <v>17964</v>
      </c>
      <c r="N13" s="3" t="s">
        <v>9</v>
      </c>
      <c r="O13" s="3" t="s">
        <v>24</v>
      </c>
      <c r="P13" s="3" t="s">
        <v>27</v>
      </c>
      <c r="Q13" s="3" t="s">
        <v>28</v>
      </c>
      <c r="R13" s="3" t="s">
        <v>23</v>
      </c>
      <c r="S13" s="7" t="s">
        <v>58</v>
      </c>
    </row>
    <row r="14" spans="1:19" ht="56.25" x14ac:dyDescent="0.2">
      <c r="A14" s="3" t="s">
        <v>14</v>
      </c>
      <c r="B14" s="4">
        <v>45568</v>
      </c>
      <c r="C14" s="5">
        <v>45538</v>
      </c>
      <c r="D14" s="1">
        <v>18018</v>
      </c>
      <c r="E14" s="5">
        <v>45538</v>
      </c>
      <c r="F14" s="6">
        <v>249342</v>
      </c>
      <c r="G14" s="1">
        <v>3550</v>
      </c>
      <c r="H14" s="3" t="s">
        <v>29</v>
      </c>
      <c r="I14" s="3" t="s">
        <v>6</v>
      </c>
      <c r="J14" s="3" t="s">
        <v>7</v>
      </c>
      <c r="K14" s="3" t="s">
        <v>16</v>
      </c>
      <c r="L14" s="5">
        <v>45538</v>
      </c>
      <c r="M14" s="1">
        <v>18018</v>
      </c>
      <c r="N14" s="3" t="s">
        <v>9</v>
      </c>
      <c r="O14" s="3" t="s">
        <v>30</v>
      </c>
      <c r="P14" s="3" t="s">
        <v>31</v>
      </c>
      <c r="Q14" s="3" t="s">
        <v>32</v>
      </c>
      <c r="R14" s="3" t="s">
        <v>23</v>
      </c>
      <c r="S14" s="7" t="s">
        <v>59</v>
      </c>
    </row>
    <row r="15" spans="1:19" ht="78.75" x14ac:dyDescent="0.2">
      <c r="A15" s="3" t="s">
        <v>14</v>
      </c>
      <c r="B15" s="4">
        <v>45610</v>
      </c>
      <c r="C15" s="5">
        <v>45589</v>
      </c>
      <c r="D15" s="1">
        <v>14495</v>
      </c>
      <c r="E15" s="5">
        <v>45589</v>
      </c>
      <c r="F15" s="6">
        <v>1407</v>
      </c>
      <c r="G15" s="1">
        <v>3003</v>
      </c>
      <c r="H15" s="3" t="s">
        <v>5</v>
      </c>
      <c r="I15" s="3" t="s">
        <v>6</v>
      </c>
      <c r="J15" s="3" t="s">
        <v>7</v>
      </c>
      <c r="K15" s="3" t="s">
        <v>8</v>
      </c>
      <c r="L15" s="5">
        <v>45589</v>
      </c>
      <c r="M15" s="1">
        <v>14495</v>
      </c>
      <c r="N15" s="3" t="s">
        <v>9</v>
      </c>
      <c r="O15" s="3" t="s">
        <v>33</v>
      </c>
      <c r="P15" s="3" t="s">
        <v>34</v>
      </c>
      <c r="Q15" s="3" t="s">
        <v>35</v>
      </c>
      <c r="R15" s="3" t="s">
        <v>36</v>
      </c>
      <c r="S15" s="7" t="s">
        <v>60</v>
      </c>
    </row>
    <row r="16" spans="1:19" x14ac:dyDescent="0.2">
      <c r="A16" s="3" t="s">
        <v>37</v>
      </c>
      <c r="D16" s="2"/>
      <c r="G16" s="2"/>
      <c r="M16" s="2"/>
      <c r="R16" s="14">
        <f>SUBTOTAL(103,Errores_Emision[EMAIL])</f>
        <v>8</v>
      </c>
      <c r="S16" s="8"/>
    </row>
  </sheetData>
  <conditionalFormatting sqref="A8:S15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2024-12-26T16:04:27Z</dcterms:created>
  <dcterms:modified xsi:type="dcterms:W3CDTF">2024-12-26T16:04:29Z</dcterms:modified>
</cp:coreProperties>
</file>