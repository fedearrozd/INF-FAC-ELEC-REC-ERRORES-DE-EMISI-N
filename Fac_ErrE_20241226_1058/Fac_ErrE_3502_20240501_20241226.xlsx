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58\"/>
    </mc:Choice>
  </mc:AlternateContent>
  <xr:revisionPtr revIDLastSave="0" documentId="13_ncr:9_{ED238D9C-D68E-443A-B8B4-9CE63954A1CE}" xr6:coauthVersionLast="47" xr6:coauthVersionMax="47" xr10:uidLastSave="{00000000-0000-0000-0000-000000000000}"/>
  <bookViews>
    <workbookView xWindow="2295" yWindow="2295" windowWidth="21600" windowHeight="11385" xr2:uid="{DDDBEEF2-4B1B-4C58-AA93-DFA7C2D88FD0}"/>
  </bookViews>
  <sheets>
    <sheet name="Error_Emision" sheetId="1" r:id="rId1"/>
  </sheets>
  <definedNames>
    <definedName name="_xlnm._FilterDatabase" localSheetId="0" hidden="1">Error_Emision!$A$7:$S$13</definedName>
    <definedName name="_xlnm.Database">Error_Emision!$A$7:$S$13</definedName>
  </definedNames>
  <calcPr calcId="191029"/>
</workbook>
</file>

<file path=xl/calcChain.xml><?xml version="1.0" encoding="utf-8"?>
<calcChain xmlns="http://schemas.openxmlformats.org/spreadsheetml/2006/main">
  <c r="R14" i="1" l="1"/>
</calcChain>
</file>

<file path=xl/sharedStrings.xml><?xml version="1.0" encoding="utf-8"?>
<sst xmlns="http://schemas.openxmlformats.org/spreadsheetml/2006/main" count="90" uniqueCount="55">
  <si>
    <t>AUD_UFAC</t>
  </si>
  <si>
    <t>CXC_NUME</t>
  </si>
  <si>
    <t>MES</t>
  </si>
  <si>
    <t>ERROR</t>
  </si>
  <si>
    <t>FATRINIDAD03</t>
  </si>
  <si>
    <t>FACTURA AFILIACION AGRICULTORES</t>
  </si>
  <si>
    <t>3502</t>
  </si>
  <si>
    <t>YOPAL BODEGA TRINIDAD</t>
  </si>
  <si>
    <t>FACTURA</t>
  </si>
  <si>
    <t>2024</t>
  </si>
  <si>
    <t>05</t>
  </si>
  <si>
    <t>36088036</t>
  </si>
  <si>
    <t>MARITZA LIZCANO QUINTERO .</t>
  </si>
  <si>
    <t>mariliz1906@gmail.com</t>
  </si>
  <si>
    <t>74847575</t>
  </si>
  <si>
    <t>CARLOS ALBERTO BETANCOURT GUANAY</t>
  </si>
  <si>
    <t>.</t>
  </si>
  <si>
    <t>NOTA CREDITO</t>
  </si>
  <si>
    <t>NOTACRE</t>
  </si>
  <si>
    <t>08</t>
  </si>
  <si>
    <t>1020728369</t>
  </si>
  <si>
    <t>LORENA ALEJANDRA PUENTES ZAMBRANO</t>
  </si>
  <si>
    <t>lore.zam@hotmail.com</t>
  </si>
  <si>
    <t>FACOM024</t>
  </si>
  <si>
    <t>NC DEVOLUCION CLIENTE</t>
  </si>
  <si>
    <t>10</t>
  </si>
  <si>
    <t>9433857</t>
  </si>
  <si>
    <t>ARLEY GUILLERMO NIÐO PONGUTA</t>
  </si>
  <si>
    <t>guillenp0209@gmail.com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</si>
  <si>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</si>
  <si>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</si>
  <si>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</si>
  <si>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</si>
  <si>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</si>
  <si>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</si>
  <si>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</si>
  <si>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</si>
  <si>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</si>
  <si>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</si>
  <si>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</si>
  <si>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</si>
  <si>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</si>
  <si>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</si>
  <si>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</si>
  <si>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</si>
  <si>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[35029493]. Descripción: [Validación contiene errores en campos mandatorios.] - Errores: [Regla: FAD09e, Rechazo: Valida que fecha de generación de la factura sea igual a la fecha de firma,Regla: FAK41, Notificación: EL contenido de este elemento no corresponde al Nombre y codigo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</si>
  <si>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Email inválido: '.'</t>
  </si>
  <si>
    <t>Código de error: 400 Solicitud incorrecta. 2000 InvalidDocument: DIAN: Ocurrió un error al enviar el documento [24Y350212276]. Descripción: [Validación contiene errores en campos mandatorios.] - Errores: [Regla: CAD09e, Rechazo: La fecha de generación de la NC es diferente a la fecha de firma de la NC,Regla: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</si>
  <si>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[24Y350212277]. Descripción: [Validación contiene errores en campos mandatorios.] - Errores: [Regla: CAD09e, Rechazo: La fecha de generación de la NC es diferente a la fecha de firma de la NC,Regla: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</si>
  <si>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[24Y350212278]. Descripción: [Validación contiene errores en campos mandatorios.] - Errores: [Regla: CAD09e, Rechazo: La fecha de generación de la NC es diferente a la fecha de firma de la NC,Regla: CAK41, Notificación: EL contenido de este elemento no corresponde al Nombre y código válido.,Regla: CBF04, Notificación: La Descripción informada no se encuentra en la lista,Regla: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</si>
  <si>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[24Y350212292]. Descripción: [Validación contiene errores en campos mandatorios.] - Errores: [Regla: LGC15, Rechazo: No es posible la transmisión de una nota crédito, por cuanto la factura ya se encuentra aceptada,Regla: CBF04, Notificación: La Descripción informada no se encuentra en la lista,Regla: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</si>
  <si>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</si>
  <si>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</si>
  <si>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</si>
  <si>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[ 20241226_1058 ]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</si>
</sst>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E241AA-624E-4FC7-B34B-9FB8EBB03A70}" name="Errores_Emision" displayName="Errores_Emision" ref="A7:S14" totalsRowCount="1" headerRowDxfId="3" dataDxfId="42" totalsRowDxfId="43" headerRowBorderDxfId="4">
  <autoFilter ref="A7:S13" xr:uid="{2D1AD7A9-BF9C-4672-8169-82F7B04062E0}"/>
  <tableColumns count="19">
    <tableColumn id="1" xr3:uid="{5E7A7E71-F6C7-40EE-B458-991FDD01C9F3}" name="USUARIO" totalsRowLabel="Total" dataDxfId="36" totalsRowDxfId="37"/>
    <tableColumn id="2" xr3:uid="{170187B8-673A-419E-9571-8AF72ECD1261}" name="AUD_UFAC" dataDxfId="34" totalsRowDxfId="35"/>
    <tableColumn id="3" xr3:uid="{95DADAFF-124E-4F72-9C44-31C6D8E3441E}" name="FECH_APLICA" dataDxfId="33" totalsRowDxfId="32"/>
    <tableColumn id="4" xr3:uid="{3ADA59A9-5E84-42FA-BAEF-20A59B3E73C2}" name="DOCUMENTO" dataDxfId="31" totalsRowDxfId="41"/>
    <tableColumn id="5" xr3:uid="{E927112C-2534-41E9-8CB4-8BC3B413AD11}" name="FECH_DOCUMENTO" dataDxfId="29" totalsRowDxfId="30"/>
    <tableColumn id="6" xr3:uid="{63BCA229-9AD9-40E4-BDAF-A99D17EB60E9}" name="FAC_VLR_TOTAL" dataDxfId="28" totalsRowDxfId="27"/>
    <tableColumn id="7" xr3:uid="{15810486-259A-4E5C-AB1C-71E15D7CC200}" name="COD_TIPO_OPERAC" dataDxfId="26" totalsRowDxfId="40"/>
    <tableColumn id="8" xr3:uid="{6AA0E3ED-5C0D-4B52-9FE1-5A10B11A9B08}" name="TIPO_OPERAC" dataDxfId="24" totalsRowDxfId="25"/>
    <tableColumn id="9" xr3:uid="{BA3E166F-64F8-4D5A-A7C5-0A734F13C14D}" name="COD_SUCUR" dataDxfId="22" totalsRowDxfId="23"/>
    <tableColumn id="10" xr3:uid="{4F143B07-DC2E-4C39-B071-72771BBC8DB9}" name="SUCURSAL" dataDxfId="20" totalsRowDxfId="21"/>
    <tableColumn id="11" xr3:uid="{23ED0582-C16C-4A2C-A308-B4DCCCA95B4E}" name="TIPO_DOCUMENTO" dataDxfId="18" totalsRowDxfId="19"/>
    <tableColumn id="12" xr3:uid="{05C31783-8A65-4519-BCE0-4CB7D7B0E3E6}" name="FECH_FACTURA" dataDxfId="17" totalsRowDxfId="16"/>
    <tableColumn id="13" xr3:uid="{CAC5C61F-F4AF-4B4E-985D-4D43CFDA8BD4}" name="CXC_NUME" dataDxfId="15" totalsRowDxfId="39"/>
    <tableColumn id="14" xr3:uid="{25081F8C-69BC-4593-8CDE-B0EC4548FCF8}" name="AÑO" dataDxfId="13" totalsRowDxfId="14"/>
    <tableColumn id="15" xr3:uid="{ECA22DF3-87C3-45C6-9AA8-C7B00D2BEA7D}" name="MES" dataDxfId="11" totalsRowDxfId="12"/>
    <tableColumn id="16" xr3:uid="{3A47B8D7-2F45-49CF-92C1-A2BDEDB0C551}" name="NIT" dataDxfId="9" totalsRowDxfId="10"/>
    <tableColumn id="17" xr3:uid="{B74F700A-36EA-4D41-88D4-F84A94E59A92}" name="NOMBRE" dataDxfId="7" totalsRowDxfId="8"/>
    <tableColumn id="18" xr3:uid="{0BB3AEB1-409D-40A7-B8D4-CC87C75DE811}" name="EMAIL" totalsRowFunction="count" dataDxfId="5" totalsRowDxfId="2"/>
    <tableColumn id="19" xr3:uid="{78E0B6FB-7789-4478-9CFA-B455D2A1685A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AD7A9-BF9C-4672-8169-82F7B04062E0}">
  <sheetPr>
    <tabColor rgb="FF92D050"/>
  </sheetPr>
  <dimension ref="A1:S14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6" style="3" bestFit="1" customWidth="1"/>
    <col min="9" max="9" width="17.6640625" style="3" bestFit="1" customWidth="1"/>
    <col min="10" max="10" width="25.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1.1640625" style="3" bestFit="1" customWidth="1"/>
    <col min="17" max="17" width="40.6640625" style="3" bestFit="1" customWidth="1"/>
    <col min="18" max="18" width="21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51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52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53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54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30</v>
      </c>
      <c r="B7" s="10" t="s">
        <v>0</v>
      </c>
      <c r="C7" s="11" t="s">
        <v>31</v>
      </c>
      <c r="D7" s="12" t="s">
        <v>32</v>
      </c>
      <c r="E7" s="11" t="s">
        <v>33</v>
      </c>
      <c r="F7" s="13" t="s">
        <v>34</v>
      </c>
      <c r="G7" s="12" t="s">
        <v>35</v>
      </c>
      <c r="H7" s="9" t="s">
        <v>36</v>
      </c>
      <c r="I7" s="9" t="s">
        <v>37</v>
      </c>
      <c r="J7" s="9" t="s">
        <v>38</v>
      </c>
      <c r="K7" s="9" t="s">
        <v>39</v>
      </c>
      <c r="L7" s="11" t="s">
        <v>40</v>
      </c>
      <c r="M7" s="12" t="s">
        <v>1</v>
      </c>
      <c r="N7" s="9" t="s">
        <v>41</v>
      </c>
      <c r="O7" s="9" t="s">
        <v>2</v>
      </c>
      <c r="P7" s="9" t="s">
        <v>42</v>
      </c>
      <c r="Q7" s="9" t="s">
        <v>43</v>
      </c>
      <c r="R7" s="9" t="s">
        <v>44</v>
      </c>
      <c r="S7" s="12" t="s">
        <v>3</v>
      </c>
    </row>
    <row r="8" spans="1:19" ht="56.25" x14ac:dyDescent="0.2">
      <c r="A8" s="3" t="s">
        <v>4</v>
      </c>
      <c r="B8" s="4">
        <v>45418</v>
      </c>
      <c r="C8" s="5">
        <v>45416</v>
      </c>
      <c r="D8" s="1">
        <v>9493</v>
      </c>
      <c r="E8" s="5">
        <v>45416</v>
      </c>
      <c r="F8" s="6">
        <v>20000</v>
      </c>
      <c r="G8" s="1">
        <v>3014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45416</v>
      </c>
      <c r="M8" s="1">
        <v>9493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45</v>
      </c>
    </row>
    <row r="9" spans="1:19" x14ac:dyDescent="0.2">
      <c r="A9" s="3" t="s">
        <v>4</v>
      </c>
      <c r="B9" s="4">
        <v>45426</v>
      </c>
      <c r="C9" s="5">
        <v>45426</v>
      </c>
      <c r="D9" s="1">
        <v>9504</v>
      </c>
      <c r="E9" s="5">
        <v>45426</v>
      </c>
      <c r="F9" s="6">
        <v>20000</v>
      </c>
      <c r="G9" s="1">
        <v>3014</v>
      </c>
      <c r="H9" s="3" t="s">
        <v>5</v>
      </c>
      <c r="I9" s="3" t="s">
        <v>6</v>
      </c>
      <c r="J9" s="3" t="s">
        <v>7</v>
      </c>
      <c r="K9" s="3" t="s">
        <v>8</v>
      </c>
      <c r="L9" s="5">
        <v>45426</v>
      </c>
      <c r="M9" s="1">
        <v>9504</v>
      </c>
      <c r="N9" s="3" t="s">
        <v>9</v>
      </c>
      <c r="O9" s="3" t="s">
        <v>10</v>
      </c>
      <c r="P9" s="3" t="s">
        <v>14</v>
      </c>
      <c r="Q9" s="3" t="s">
        <v>15</v>
      </c>
      <c r="R9" s="3" t="s">
        <v>16</v>
      </c>
      <c r="S9" s="7" t="s">
        <v>46</v>
      </c>
    </row>
    <row r="10" spans="1:19" ht="67.5" x14ac:dyDescent="0.2">
      <c r="A10" s="3" t="s">
        <v>4</v>
      </c>
      <c r="B10" s="4">
        <v>45568</v>
      </c>
      <c r="C10" s="5">
        <v>45519</v>
      </c>
      <c r="D10" s="1">
        <v>12276</v>
      </c>
      <c r="E10" s="5">
        <v>45519</v>
      </c>
      <c r="F10" s="6">
        <v>83260</v>
      </c>
      <c r="G10" s="1">
        <v>3003</v>
      </c>
      <c r="H10" s="3" t="s">
        <v>17</v>
      </c>
      <c r="I10" s="3" t="s">
        <v>6</v>
      </c>
      <c r="J10" s="3" t="s">
        <v>7</v>
      </c>
      <c r="K10" s="3" t="s">
        <v>18</v>
      </c>
      <c r="L10" s="5">
        <v>45519</v>
      </c>
      <c r="M10" s="1">
        <v>12276</v>
      </c>
      <c r="N10" s="3" t="s">
        <v>9</v>
      </c>
      <c r="O10" s="3" t="s">
        <v>19</v>
      </c>
      <c r="P10" s="3" t="s">
        <v>20</v>
      </c>
      <c r="Q10" s="3" t="s">
        <v>21</v>
      </c>
      <c r="R10" s="3" t="s">
        <v>22</v>
      </c>
      <c r="S10" s="7" t="s">
        <v>47</v>
      </c>
    </row>
    <row r="11" spans="1:19" ht="67.5" x14ac:dyDescent="0.2">
      <c r="A11" s="3" t="s">
        <v>4</v>
      </c>
      <c r="B11" s="4">
        <v>45568</v>
      </c>
      <c r="C11" s="5">
        <v>45519</v>
      </c>
      <c r="D11" s="1">
        <v>12277</v>
      </c>
      <c r="E11" s="5">
        <v>45519</v>
      </c>
      <c r="F11" s="6">
        <v>13523</v>
      </c>
      <c r="G11" s="1">
        <v>3003</v>
      </c>
      <c r="H11" s="3" t="s">
        <v>17</v>
      </c>
      <c r="I11" s="3" t="s">
        <v>6</v>
      </c>
      <c r="J11" s="3" t="s">
        <v>7</v>
      </c>
      <c r="K11" s="3" t="s">
        <v>18</v>
      </c>
      <c r="L11" s="5">
        <v>45519</v>
      </c>
      <c r="M11" s="1">
        <v>12277</v>
      </c>
      <c r="N11" s="3" t="s">
        <v>9</v>
      </c>
      <c r="O11" s="3" t="s">
        <v>19</v>
      </c>
      <c r="P11" s="3" t="s">
        <v>20</v>
      </c>
      <c r="Q11" s="3" t="s">
        <v>21</v>
      </c>
      <c r="R11" s="3" t="s">
        <v>22</v>
      </c>
      <c r="S11" s="7" t="s">
        <v>48</v>
      </c>
    </row>
    <row r="12" spans="1:19" ht="67.5" x14ac:dyDescent="0.2">
      <c r="A12" s="3" t="s">
        <v>4</v>
      </c>
      <c r="B12" s="4">
        <v>45568</v>
      </c>
      <c r="C12" s="5">
        <v>45519</v>
      </c>
      <c r="D12" s="1">
        <v>12278</v>
      </c>
      <c r="E12" s="5">
        <v>45519</v>
      </c>
      <c r="F12" s="6">
        <v>177775</v>
      </c>
      <c r="G12" s="1">
        <v>3003</v>
      </c>
      <c r="H12" s="3" t="s">
        <v>17</v>
      </c>
      <c r="I12" s="3" t="s">
        <v>6</v>
      </c>
      <c r="J12" s="3" t="s">
        <v>7</v>
      </c>
      <c r="K12" s="3" t="s">
        <v>18</v>
      </c>
      <c r="L12" s="5">
        <v>45519</v>
      </c>
      <c r="M12" s="1">
        <v>12278</v>
      </c>
      <c r="N12" s="3" t="s">
        <v>9</v>
      </c>
      <c r="O12" s="3" t="s">
        <v>19</v>
      </c>
      <c r="P12" s="3" t="s">
        <v>20</v>
      </c>
      <c r="Q12" s="3" t="s">
        <v>21</v>
      </c>
      <c r="R12" s="3" t="s">
        <v>22</v>
      </c>
      <c r="S12" s="7" t="s">
        <v>49</v>
      </c>
    </row>
    <row r="13" spans="1:19" ht="67.5" x14ac:dyDescent="0.2">
      <c r="A13" s="3" t="s">
        <v>23</v>
      </c>
      <c r="B13" s="4">
        <v>45596</v>
      </c>
      <c r="C13" s="5">
        <v>45596</v>
      </c>
      <c r="D13" s="1">
        <v>12292</v>
      </c>
      <c r="E13" s="5">
        <v>45596</v>
      </c>
      <c r="F13" s="6">
        <v>6984965</v>
      </c>
      <c r="G13" s="1">
        <v>3512</v>
      </c>
      <c r="H13" s="3" t="s">
        <v>24</v>
      </c>
      <c r="I13" s="3" t="s">
        <v>6</v>
      </c>
      <c r="J13" s="3" t="s">
        <v>7</v>
      </c>
      <c r="K13" s="3" t="s">
        <v>18</v>
      </c>
      <c r="L13" s="5">
        <v>45596</v>
      </c>
      <c r="M13" s="1">
        <v>12292</v>
      </c>
      <c r="N13" s="3" t="s">
        <v>9</v>
      </c>
      <c r="O13" s="3" t="s">
        <v>25</v>
      </c>
      <c r="P13" s="3" t="s">
        <v>26</v>
      </c>
      <c r="Q13" s="3" t="s">
        <v>27</v>
      </c>
      <c r="R13" s="3" t="s">
        <v>28</v>
      </c>
      <c r="S13" s="7" t="s">
        <v>50</v>
      </c>
    </row>
    <row r="14" spans="1:19" x14ac:dyDescent="0.2">
      <c r="A14" s="3" t="s">
        <v>29</v>
      </c>
      <c r="D14" s="2"/>
      <c r="G14" s="2"/>
      <c r="M14" s="2"/>
      <c r="R14" s="14">
        <f>SUBTOTAL(103,Errores_Emision[EMAIL])</f>
        <v>6</v>
      </c>
      <c r="S14" s="8"/>
    </row>
  </sheetData>
  <conditionalFormatting sqref="A8:S13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2024-12-26T16:03:34Z</dcterms:created>
  <dcterms:modified xsi:type="dcterms:W3CDTF">2024-12-26T16:03:36Z</dcterms:modified>
</cp:coreProperties>
</file>