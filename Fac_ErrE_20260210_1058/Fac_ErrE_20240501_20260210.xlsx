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60210_1058\"/>
    </mc:Choice>
  </mc:AlternateContent>
  <xr:revisionPtr revIDLastSave="0" documentId="13_ncr:9_{A571B690-4709-48AF-BDB1-06964706AF87}" xr6:coauthVersionLast="47" xr6:coauthVersionMax="47" xr10:uidLastSave="{00000000-0000-0000-0000-000000000000}"/>
  <bookViews>
    <workbookView xWindow="0" yWindow="7665" windowWidth="28800" windowHeight="7815" xr2:uid="{62C008A2-10B8-4FB0-8A59-CFF8874321FD}"/>
  </bookViews>
  <sheets>
    <sheet name="Error_Emision" sheetId="1" r:id="rId1"/>
  </sheets>
  <definedNames>
    <definedName name="_xlnm._FilterDatabase" localSheetId="0" hidden="1">Error_Emision!$A$10:$R$12</definedName>
    <definedName name="SegmentaciónDeDatos_SUCURSAL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</extLst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<sst xmlns="http://schemas.openxmlformats.org/spreadsheetml/2006/main" count="46" uniqueCount="44">
  <si>
    <t>FAPLVALENCIA13</t>
  </si>
  <si>
    <t>FACTURA  ADMINISTRATIVA FEDEARROZ</t>
  </si>
  <si>
    <t>6760</t>
  </si>
  <si>
    <t>PL ETC VALLEDUPAR VALENCIA</t>
  </si>
  <si>
    <t>FACTURA</t>
  </si>
  <si>
    <t>2026</t>
  </si>
  <si>
    <t>01</t>
  </si>
  <si>
    <t>860010522</t>
  </si>
  <si>
    <t>FEDERACION NACIONAL DE ARROCEROS FEDEARR</t>
  </si>
  <si>
    <t>860010522@factureinbox.co</t>
  </si>
  <si>
    <t>FAJAMUNDI02</t>
  </si>
  <si>
    <t>FACTURA INVENTARIO CONTADO</t>
  </si>
  <si>
    <t>2203</t>
  </si>
  <si>
    <t>PTO SERV.JAMUNDI</t>
  </si>
  <si>
    <t>02</t>
  </si>
  <si>
    <t>1110455605</t>
  </si>
  <si>
    <t>DIEGO FERNANDO HERNANDEZ CASABIANCA</t>
  </si>
  <si>
    <t>dcasabianca4s@gmail.com</t>
  </si>
  <si>
    <t>Total</t>
  </si>
  <si>
    <t>USUARIO</t>
  </si>
  <si>
    <t>AUD_UFAC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</si>
  <si>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</si>
  <si>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</si>
  <si>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</si>
  <si>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</si>
  <si>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</si>
  <si>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</si>
  <si>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</si>
  <si>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</si>
  <si>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</si>
  <si>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</si>
  <si>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CXC_NUME</t>
  </si>
  <si>
    <t>AÑO</t>
  </si>
  <si>
    <t>MES</t>
  </si>
  <si>
    <t>NIT</t>
  </si>
  <si>
    <t>NOMBRE</t>
  </si>
  <si>
    <t>EMAIL</t>
  </si>
  <si>
    <t>ERROR</t>
  </si>
  <si>
    <t>Errores: [Regla: FAD09e, Rechazo: Valida que fecha de generación</t>
  </si>
  <si>
    <t>Error al llamar la función remota 'EmitirFactura'  Error: Error en la llamada a procedimiento remoto</t>
  </si>
  <si>
    <t>FEDEARROZ</t>
  </si>
  <si>
    <t>Facturación Electrónica Errores Emisión</t>
  </si>
  <si>
    <t>Corte:  [Desde 2024/05/01 - Hasta 2026/02/10]</t>
  </si>
  <si>
    <t>Fecha y Hora de Generación:  [ 20260210_1058 ]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</si>
</sst>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7" x14ac:knownFonts="1">
    <font>
      <sz val="10"/>
      <name val="Arial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D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1" fillId="0" borderId="0" xfId="0" applyNumberFormat="1" applyFont="1"/>
    <xf numFmtId="49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/>
    <xf numFmtId="167" fontId="3" fillId="0" borderId="0" xfId="0" applyNumberFormat="1" applyFont="1"/>
    <xf numFmtId="49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4" fillId="0" borderId="0" xfId="0" applyFont="1"/>
    <xf numFmtId="167" fontId="4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0" xfId="0" applyFont="1"/>
    <xf numFmtId="167" fontId="5" fillId="0" borderId="0" xfId="0" applyNumberFormat="1" applyFont="1"/>
    <xf numFmtId="49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167" fontId="6" fillId="0" borderId="0" xfId="0" applyNumberFormat="1" applyFont="1"/>
  </cellXfs>
  <cellStyles count="1">
    <cellStyle name="Normal" xfId="0" builtinId="0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498475</xdr:colOff>
      <xdr:row>0</xdr:row>
      <xdr:rowOff>25400</xdr:rowOff>
    </xdr:from>
    <xdr:to>
      <xdr:col>11</xdr:col>
      <xdr:colOff>536575</xdr:colOff>
      <xdr:row>8</xdr:row>
      <xdr:rowOff>98425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SUCURSAL">
              <a:extLst>
                <a:ext uri="{FF2B5EF4-FFF2-40B4-BE49-F238E27FC236}">
                  <a16:creationId xmlns:a16="http://schemas.microsoft.com/office/drawing/2014/main" id="{E23954CC-2E32-2CC3-C38A-7D43B74FE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000" y="25400"/>
              <a:ext cx="11430000" cy="139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43DF08D6-C935-4E83-BD2E-B69EC8E0089E}" sourceName="SUCURSAL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" xr10:uid="{7B12C2D3-637E-401F-BF68-76128E1ED8C4}" cache="SegmentaciónDeDatos_SUCURSAL" caption="Seleccione la SUCURSAL" columnCount="12" style="SlicerStyleOther1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4E280-9EE5-47A5-8303-2F27BC3040CE}" name="Errores_Emision" displayName="Errores_Emision" ref="A10:S13" totalsRowCount="1" headerRowDxfId="3" dataDxfId="42" totalsRowDxfId="43" headerRowBorderDxfId="4">
  <autoFilter ref="A10:S12" xr:uid="{28B4E280-9EE5-47A5-8303-2F27BC3040CE}"/>
  <tableColumns count="19">
    <tableColumn id="1" xr3:uid="{A182B690-137A-43B8-9D1D-2D7E5DA72225}" name="USUARIO" totalsRowLabel="Total" dataDxfId="36" totalsRowDxfId="37"/>
    <tableColumn id="2" xr3:uid="{AD5C4806-D0E0-415A-A018-C01E1AF43BF9}" name="AUD_UFAC" dataDxfId="34" totalsRowDxfId="35"/>
    <tableColumn id="3" xr3:uid="{3188C740-4723-48B1-8C67-4D95C525CDDB}" name="FECH_APLICA" dataDxfId="33" totalsRowDxfId="32"/>
    <tableColumn id="4" xr3:uid="{DEA9DE19-2A0F-4105-AF54-3D53C5E85477}" name="DOCUMENTO" dataDxfId="31" totalsRowDxfId="41"/>
    <tableColumn id="5" xr3:uid="{E6F49298-AB29-407D-A674-0A7C93BAB427}" name="FECH_DOCUMENTO" dataDxfId="29" totalsRowDxfId="30"/>
    <tableColumn id="6" xr3:uid="{59344AEB-A619-4F61-8D2E-E95086FDA38B}" name="FAC_VLR_TOTAL" dataDxfId="28" totalsRowDxfId="27"/>
    <tableColumn id="7" xr3:uid="{8F24C808-D0DC-4690-831A-55B676D653EE}" name="COD_TIPO_OPERAC" dataDxfId="26" totalsRowDxfId="40"/>
    <tableColumn id="8" xr3:uid="{A7CECDE5-BDBA-422F-BACB-B51218DEFA0F}" name="TIPO_OPERAC" dataDxfId="24" totalsRowDxfId="25"/>
    <tableColumn id="9" xr3:uid="{57AADD70-9DCA-4513-8664-26521CDEFC1F}" name="COD_SUCUR" dataDxfId="22" totalsRowDxfId="23"/>
    <tableColumn id="10" xr3:uid="{DB458A83-3D54-4397-AB71-C2A08A19D284}" name="SUCURSAL" dataDxfId="20" totalsRowDxfId="21"/>
    <tableColumn id="11" xr3:uid="{8A6E4ABC-A1FF-4F86-B4A7-BB2B424AD31E}" name="TIPO_DOCUMENTO" dataDxfId="18" totalsRowDxfId="19"/>
    <tableColumn id="12" xr3:uid="{ADA21C24-1703-4697-8500-98A26E9BD2B4}" name="FECH_FACTURA" dataDxfId="17" totalsRowDxfId="16"/>
    <tableColumn id="13" xr3:uid="{601BE09B-290F-4AFC-9D3F-2A06EC5CD71E}" name="CXC_NUME" dataDxfId="15" totalsRowDxfId="39"/>
    <tableColumn id="14" xr3:uid="{68D98C44-3438-422D-BB1A-821D6C6FB7B8}" name="AÑO" dataDxfId="13" totalsRowDxfId="14"/>
    <tableColumn id="15" xr3:uid="{2C1CC966-E557-4D98-81C4-B42F05782EDD}" name="MES" dataDxfId="11" totalsRowDxfId="12"/>
    <tableColumn id="16" xr3:uid="{0F6FED97-184D-44C4-9E0D-94C7A3F37081}" name="NIT" dataDxfId="9" totalsRowDxfId="10"/>
    <tableColumn id="17" xr3:uid="{4BA6A2AC-A5BD-4464-A5F5-C947281720D1}" name="NOMBRE" dataDxfId="7" totalsRowDxfId="8"/>
    <tableColumn id="18" xr3:uid="{B99AAFDB-1476-43C6-9AAA-7523DF84881D}" name="EMAIL" totalsRowFunction="count" dataDxfId="5" totalsRowDxfId="2"/>
    <tableColumn id="19" xr3:uid="{A38DDA93-1BBC-4052-85C4-3B3D25644CF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CDBC-FE96-4FD6-BB67-FE35A01F6226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4.7109375" style="2" bestFit="1" customWidth="1"/>
    <col min="2" max="2" width="15.140625" style="3" bestFit="1" customWidth="1"/>
    <col min="3" max="3" width="16" style="4" bestFit="1" customWidth="1"/>
    <col min="4" max="4" width="15.42578125" style="1" bestFit="1" customWidth="1"/>
    <col min="5" max="5" width="20.7109375" style="4" bestFit="1" customWidth="1"/>
    <col min="6" max="6" width="18.28515625" style="5" bestFit="1" customWidth="1"/>
    <col min="7" max="7" width="21.140625" style="1" bestFit="1" customWidth="1"/>
    <col min="8" max="8" width="33.42578125" style="2" bestFit="1" customWidth="1"/>
    <col min="9" max="9" width="15.140625" style="2" bestFit="1" customWidth="1"/>
    <col min="10" max="10" width="26.42578125" style="2" bestFit="1" customWidth="1"/>
    <col min="11" max="11" width="20.28515625" style="2" bestFit="1" customWidth="1"/>
    <col min="12" max="12" width="17.42578125" style="4" bestFit="1" customWidth="1"/>
    <col min="13" max="13" width="13.7109375" style="1" bestFit="1" customWidth="1"/>
    <col min="14" max="14" width="8.42578125" style="2" bestFit="1" customWidth="1"/>
    <col min="15" max="15" width="8" style="2" bestFit="1" customWidth="1"/>
    <col min="16" max="16" width="9.5703125" style="2" bestFit="1" customWidth="1"/>
    <col min="17" max="17" width="40.140625" style="2" bestFit="1" customWidth="1"/>
    <col min="18" max="18" width="20.5703125" style="2" bestFit="1" customWidth="1"/>
    <col min="19" max="19" width="100.7109375" style="1" customWidth="1"/>
    <col min="20" max="16384" width="11.42578125" style="1"/>
  </cols>
  <sheetData>
    <row r="1" spans="1:19" s="16" customFormat="1" ht="16.5" x14ac:dyDescent="0.25">
      <c r="A1" s="13" t="s">
        <v>40</v>
      </c>
      <c r="B1" s="14"/>
      <c r="C1" s="15"/>
      <c r="E1" s="15"/>
      <c r="F1" s="17"/>
      <c r="H1" s="13"/>
      <c r="I1" s="13"/>
      <c r="J1" s="13"/>
      <c r="K1" s="13"/>
      <c r="L1" s="15"/>
      <c r="N1" s="13"/>
      <c r="O1" s="13"/>
      <c r="P1" s="13"/>
      <c r="Q1" s="13"/>
      <c r="R1" s="13"/>
    </row>
    <row r="2" spans="1:19" s="21" customFormat="1" ht="15.75" x14ac:dyDescent="0.25">
      <c r="A2" s="18" t="s">
        <v>41</v>
      </c>
      <c r="B2" s="19"/>
      <c r="C2" s="20"/>
      <c r="E2" s="20"/>
      <c r="F2" s="22"/>
      <c r="H2" s="18"/>
      <c r="I2" s="18"/>
      <c r="J2" s="18"/>
      <c r="K2" s="18"/>
      <c r="L2" s="20"/>
      <c r="N2" s="18"/>
      <c r="O2" s="18"/>
      <c r="P2" s="18"/>
      <c r="Q2" s="18"/>
      <c r="R2" s="18"/>
    </row>
    <row r="3" spans="1:19" s="26" customFormat="1" ht="14.25" x14ac:dyDescent="0.2">
      <c r="A3" s="23" t="s">
        <v>42</v>
      </c>
      <c r="B3" s="24"/>
      <c r="C3" s="25"/>
      <c r="E3" s="25"/>
      <c r="F3" s="27"/>
      <c r="H3" s="23"/>
      <c r="I3" s="23"/>
      <c r="J3" s="23"/>
      <c r="K3" s="23"/>
      <c r="L3" s="25"/>
      <c r="N3" s="23"/>
      <c r="O3" s="23"/>
      <c r="P3" s="23"/>
      <c r="Q3" s="23"/>
      <c r="R3" s="23"/>
    </row>
    <row r="4" spans="1:19" s="31" customFormat="1" ht="12.75" x14ac:dyDescent="0.2">
      <c r="A4" s="28" t="s">
        <v>43</v>
      </c>
      <c r="B4" s="29"/>
      <c r="C4" s="30"/>
      <c r="E4" s="30"/>
      <c r="F4" s="32"/>
      <c r="H4" s="28"/>
      <c r="I4" s="28"/>
      <c r="J4" s="28"/>
      <c r="K4" s="28"/>
      <c r="L4" s="30"/>
      <c r="N4" s="28"/>
      <c r="O4" s="28"/>
      <c r="P4" s="28"/>
      <c r="Q4" s="28"/>
      <c r="R4" s="28"/>
    </row>
    <row r="9" spans="1:19" ht="12" thickBot="1" x14ac:dyDescent="0.25"/>
    <row r="10" spans="1:19" ht="12" thickBot="1" x14ac:dyDescent="0.25">
      <c r="A10" s="7" t="s">
        <v>19</v>
      </c>
      <c r="B10" s="8" t="s">
        <v>20</v>
      </c>
      <c r="C10" s="9" t="s">
        <v>21</v>
      </c>
      <c r="D10" s="10" t="s">
        <v>22</v>
      </c>
      <c r="E10" s="9" t="s">
        <v>23</v>
      </c>
      <c r="F10" s="11" t="s">
        <v>24</v>
      </c>
      <c r="G10" s="10" t="s">
        <v>25</v>
      </c>
      <c r="H10" s="7" t="s">
        <v>26</v>
      </c>
      <c r="I10" s="7" t="s">
        <v>27</v>
      </c>
      <c r="J10" s="7" t="s">
        <v>28</v>
      </c>
      <c r="K10" s="7" t="s">
        <v>29</v>
      </c>
      <c r="L10" s="9" t="s">
        <v>30</v>
      </c>
      <c r="M10" s="10" t="s">
        <v>31</v>
      </c>
      <c r="N10" s="7" t="s">
        <v>32</v>
      </c>
      <c r="O10" s="7" t="s">
        <v>33</v>
      </c>
      <c r="P10" s="7" t="s">
        <v>34</v>
      </c>
      <c r="Q10" s="7" t="s">
        <v>35</v>
      </c>
      <c r="R10" s="7" t="s">
        <v>36</v>
      </c>
      <c r="S10" s="10" t="s">
        <v>37</v>
      </c>
    </row>
    <row r="11" spans="1:19" x14ac:dyDescent="0.2">
      <c r="A11" s="2" t="s">
        <v>0</v>
      </c>
      <c r="B11" s="3">
        <v>46055.352071759291</v>
      </c>
      <c r="C11" s="4">
        <v>46055</v>
      </c>
      <c r="D11" s="1">
        <v>2428</v>
      </c>
      <c r="E11" s="4">
        <v>46051</v>
      </c>
      <c r="F11" s="5">
        <v>6274334.2599999998</v>
      </c>
      <c r="G11" s="1">
        <v>3001</v>
      </c>
      <c r="H11" s="2" t="s">
        <v>1</v>
      </c>
      <c r="I11" s="2" t="s">
        <v>2</v>
      </c>
      <c r="J11" s="2" t="s">
        <v>3</v>
      </c>
      <c r="K11" s="2" t="s">
        <v>4</v>
      </c>
      <c r="L11" s="4">
        <v>46051</v>
      </c>
      <c r="M11" s="1">
        <v>2428</v>
      </c>
      <c r="N11" s="2" t="s">
        <v>5</v>
      </c>
      <c r="O11" s="2" t="s">
        <v>6</v>
      </c>
      <c r="P11" s="2" t="s">
        <v>7</v>
      </c>
      <c r="Q11" s="2" t="s">
        <v>8</v>
      </c>
      <c r="R11" s="2" t="s">
        <v>9</v>
      </c>
      <c r="S11" s="6" t="s">
        <v>38</v>
      </c>
    </row>
    <row r="12" spans="1:19" x14ac:dyDescent="0.2">
      <c r="A12" s="2" t="s">
        <v>10</v>
      </c>
      <c r="B12" s="3">
        <v>46063.417476851959</v>
      </c>
      <c r="C12" s="4">
        <v>46063</v>
      </c>
      <c r="D12" s="1">
        <v>9369</v>
      </c>
      <c r="E12" s="4">
        <v>46063</v>
      </c>
      <c r="F12" s="5">
        <v>168900</v>
      </c>
      <c r="G12" s="1">
        <v>3550</v>
      </c>
      <c r="H12" s="2" t="s">
        <v>11</v>
      </c>
      <c r="I12" s="2" t="s">
        <v>12</v>
      </c>
      <c r="J12" s="2" t="s">
        <v>13</v>
      </c>
      <c r="K12" s="2" t="s">
        <v>4</v>
      </c>
      <c r="L12" s="4">
        <v>46063</v>
      </c>
      <c r="M12" s="1">
        <v>9369</v>
      </c>
      <c r="N12" s="2" t="s">
        <v>5</v>
      </c>
      <c r="O12" s="2" t="s">
        <v>14</v>
      </c>
      <c r="P12" s="2" t="s">
        <v>15</v>
      </c>
      <c r="Q12" s="2" t="s">
        <v>16</v>
      </c>
      <c r="R12" s="2" t="s">
        <v>17</v>
      </c>
      <c r="S12" s="6" t="s">
        <v>39</v>
      </c>
    </row>
    <row r="13" spans="1:19" x14ac:dyDescent="0.2">
      <c r="A13" s="2" t="s">
        <v>18</v>
      </c>
      <c r="R13" s="12">
        <f>SUBTOTAL(103,R11:R12)</f>
        <v>2</v>
      </c>
      <c r="S13" s="6"/>
    </row>
  </sheetData>
  <conditionalFormatting sqref="A11:S12">
    <cfRule type="expression" dxfId="1" priority="1">
      <formula>$E11&gt;= TODAY()</formula>
    </cfRule>
    <cfRule type="expression" dxfId="0" priority="2" stopIfTrue="1">
      <formula>$E11&lt; TODAY()</formula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Error_Emision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2026-02-10T16:01:33Z</dcterms:created>
  <dcterms:modified xsi:type="dcterms:W3CDTF">2026-02-10T16:01:34Z</dcterms:modified>
</cp:coreProperties>
</file>